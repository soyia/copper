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9634eea74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9506b921001e4427"/>
    <x:sheet xmlns:r="http://schemas.openxmlformats.org/officeDocument/2006/relationships" name="参数" sheetId="2" r:id="R3daba74d83b3432e"/>
    <x:sheet xmlns:r="http://schemas.openxmlformats.org/officeDocument/2006/relationships" name="服务成本" sheetId="3" r:id="Rb544722ab9cd41b7"/>
    <x:sheet xmlns:r="http://schemas.openxmlformats.org/officeDocument/2006/relationships" name="敏感性" sheetId="4" r:id="R804a3d3cff94449c"/>
    <x:sheet xmlns:r="http://schemas.openxmlformats.org/officeDocument/2006/relationships" name="样本证据" sheetId="5" r:id="R5e13020c06a04058"/>
    <x:sheet xmlns:r="http://schemas.openxmlformats.org/officeDocument/2006/relationships" name="税费口径" sheetId="6" r:id="R97104463e3564783"/>
    <x:sheet xmlns:r="http://schemas.openxmlformats.org/officeDocument/2006/relationships" name="检查" sheetId="7" r:id="R6a62c71e111e42fe"/>
    <x:sheet xmlns:r="http://schemas.openxmlformats.org/officeDocument/2006/relationships" name="来源" sheetId="8" r:id="R8ed6499b5479466d"/>
  </x:sheets>
</x:workbook>
</file>

<file path=xl/comments1.xml><?xml version="1.0" encoding="utf-8"?>
<x:comments xmlns:x="http://schemas.openxmlformats.org/spreadsheetml/2006/main">
  <x:authors>
    <x:author>tc={3107354C-98E4-4B54-E41B-9FCED97DAAF2}</x:author>
    <x:author>tc={AD1297D8-BEE8-6DF5-0649-B7F7959D5044}</x:author>
    <x:author>tc={6FBC503D-197B-2A8D-D9DC-59637B9D1A56}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内部管理假设，可按实际工资、社保、办公和非计费时间重新核算。当前没有正式会计签署。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来源：国家税务总局现行增值税税率口径。小规模1%与免税阈值仅在符合条件时适用，模型默认使用更保守的6%情景。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30%是内部经营安全目标，不是行业法定标准。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tc={48558362-2CF4-A5EB-F2FD-FBEFA24AA928}</x:author>
    <x:author>tc={3E5CF243-6F39-B858-6840-C09E6277C6E9}</x:author>
  </x:authors>
  <x:commentList>
    <x:comment ref="E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原目录是4次×60分钟，按当前¥349价格无法在保守税费和30%贡献目标下持续。M7-05调整为4次联系、全年合计不超过120分钟。</x:t>
        </x:r>
      </x:text>
    </x:comment>
    <x:comment ref="R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M7-05只证明成本公式可持续；M7-06实体/本地环境样本未完成，因此不能正式发布本地/NAS价格。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0;[Red]-¥#,##0.00"/>
    <x:numFmt numFmtId="201" formatCode="0.0%"/>
    <x:numFmt numFmtId="202" formatCode="0.00&quot; h&quot;"/>
    <x:numFmt numFmtId="203" formatCode="0.00&quot; min&quot;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7F6000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0070C0"/>
      <x:name val="Carlito"/>
    </x:font>
    <x:font>
      <x:sz val="10"/>
      <x:color rgb="FF0070C0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sz val="8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 wrapText="1"/>
    </x:xf>
    <x:xf numFmtId="202" fontId="6" fillId="0" borderId="2" xfId="0" applyNumberFormat="1" applyFont="1" applyFill="1" applyBorder="1" applyAlignment="1">
      <x:alignment vertical="center" wrapText="1"/>
    </x:xf>
    <x:xf numFmtId="201" fontId="6" fillId="0" borderId="2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vertical="center" wrapText="1"/>
    </x:xf>
    <x:xf numFmtId="201" fontId="7" fillId="0" borderId="2" xfId="0" applyNumberFormat="1" applyFont="1" applyFill="1" applyBorder="1" applyAlignment="1">
      <x:alignment vertical="center" wrapText="1"/>
    </x:xf>
    <x:xf numFmtId="202" fontId="7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203" fontId="4" fillId="0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a6d2538424af8" /><Relationship Type="http://schemas.openxmlformats.org/officeDocument/2006/relationships/theme" Target="/xl/theme/theme1.xml" Id="Rd0fd33e96beb461d" /><Relationship Type="http://schemas.openxmlformats.org/officeDocument/2006/relationships/sharedStrings" Target="/xl/sharedStrings.xml" Id="Rfb8b7ba9bbdb420d" /><Relationship Type="http://schemas.openxmlformats.org/officeDocument/2006/relationships/worksheet" Target="/xl/worksheets/sheet1.xml" Id="R9506b921001e4427" /><Relationship Type="http://schemas.openxmlformats.org/officeDocument/2006/relationships/worksheet" Target="/xl/worksheets/sheet2.xml" Id="R3daba74d83b3432e" /><Relationship Type="http://schemas.openxmlformats.org/officeDocument/2006/relationships/worksheet" Target="/xl/worksheets/sheet3.xml" Id="Rb544722ab9cd41b7" /><Relationship Type="http://schemas.openxmlformats.org/officeDocument/2006/relationships/worksheet" Target="/xl/worksheets/sheet4.xml" Id="R804a3d3cff94449c" /><Relationship Type="http://schemas.openxmlformats.org/officeDocument/2006/relationships/worksheet" Target="/xl/worksheets/sheet5.xml" Id="R5e13020c06a04058" /><Relationship Type="http://schemas.openxmlformats.org/officeDocument/2006/relationships/worksheet" Target="/xl/worksheets/sheet6.xml" Id="R97104463e3564783" /><Relationship Type="http://schemas.openxmlformats.org/officeDocument/2006/relationships/worksheet" Target="/xl/worksheets/sheet7.xml" Id="R6a62c71e111e42fe" /><Relationship Type="http://schemas.openxmlformats.org/officeDocument/2006/relationships/worksheet" Target="/xl/worksheets/sheet8.xml" Id="R8ed6499b5479466d" /><Relationship Type="http://schemas.microsoft.com/office/2017/10/relationships/person" Target="/xl/persons/person.xml" Id="Rb2918b4b0c7546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c62fcf93dc47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保守情景贡献毛利率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贡献毛利率</c:v>
          </c:tx>
          <c:cat>
            <c:strRef>
              <c:f>'结论'!$H$5:$H$11</c:f>
              <c:strCache>
                <c:ptCount val="0"/>
              </c:strCache>
            </c:strRef>
          </c:cat>
          <c:val>
            <c:numRef>
              <c:f>'结论'!$I$5:$I$11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c62fcf93dc471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Tian" id="{9BEF39C6-5FCB-4CA2-993A-3F7722D901E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18T07:11:24.446" personId="{9BEF39C6-5FCB-4CA2-993A-3F7722D901EB}" id="{3107354C-98E4-4B54-E41B-9FCED97DAAF2}">
    <xltc:text>内部管理假设，可按实际工资、社保、办公和非计费时间重新核算。当前没有正式会计签署。</xltc:text>
  </xltc:threadedComment>
  <xltc:threadedComment ref="B6" dT="2026-07-18T07:11:24.448" personId="{9BEF39C6-5FCB-4CA2-993A-3F7722D901EB}" id="{AD1297D8-BEE8-6DF5-0649-B7F7959D5044}">
    <xltc:text>来源：国家税务总局现行增值税税率口径。小规模1%与免税阈值仅在符合条件时适用，模型默认使用更保守的6%情景。</xltc:text>
  </xltc:threadedComment>
  <xltc:threadedComment ref="B9" dT="2026-07-18T07:11:24.448" personId="{9BEF39C6-5FCB-4CA2-993A-3F7722D901EB}" id="{6FBC503D-197B-2A8D-D9DC-59637B9D1A56}">
    <xltc:text>30%是内部经营安全目标，不是行业法定标准。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8" dT="2026-07-18T07:11:24.489" personId="{9BEF39C6-5FCB-4CA2-993A-3F7722D901EB}" id="{48558362-2CF4-A5EB-F2FD-FBEFA24AA928}">
    <xltc:text>原目录是4次×60分钟，按当前¥349价格无法在保守税费和30%贡献目标下持续。M7-05调整为4次联系、全年合计不超过120分钟。</xltc:text>
  </xltc:threadedComment>
  <xltc:threadedComment ref="R7" dT="2026-07-18T07:11:24.489" personId="{9BEF39C6-5FCB-4CA2-993A-3F7722D901EB}" id="{3E5CF243-6F39-B858-6840-C09E6277C6E9}">
    <xltc:text>M7-05只证明成本公式可持续；M7-06实体/本地环境样本未完成，因此不能正式发布本地/NAS价格。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f407f3ab9c43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cfbd76438b0453c" /><Relationship Type="http://schemas.openxmlformats.org/officeDocument/2006/relationships/vmlDrawing" Target="/xl/drawings/vmldrawing.vml" Id="R5f756576e50343ba" /><Relationship Type="http://schemas.microsoft.com/office/2017/10/relationships/threadedComment" Target="/xl/threadedcomments/threadedcomment.xml" Id="R3e4a7f3e00c7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c65be7ec1c464bfe" /><Relationship Type="http://schemas.openxmlformats.org/officeDocument/2006/relationships/vmlDrawing" Target="/xl/drawings/vmldrawing2.vml" Id="R65dfc222afe240ee" /><Relationship Type="http://schemas.microsoft.com/office/2017/10/relationships/threadedComment" Target="/xl/threadedcomments/threadedcomment2.xml" Id="Ra36c95c98c7642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3" t="str">
        <x:v>M7-05 价格、服务额度、税费与真实成本复算</x:v>
      </x:c>
      <x:c r="B1" s="3" t="str">
        <x:v>M7-05 价格、服务额度、税费与真实成本复算</x:v>
      </x:c>
      <x:c r="C1" s="3" t="str">
        <x:v>M7-05 价格、服务额度、税费与真实成本复算</x:v>
      </x:c>
      <x:c r="D1" s="3" t="str">
        <x:v>M7-05 价格、服务额度、税费与真实成本复算</x:v>
      </x:c>
      <x:c r="E1" s="3" t="str">
        <x:v>M7-05 价格、服务额度、税费与真实成本复算</x:v>
      </x:c>
      <x:c r="F1" s="3" t="str">
        <x:v>M7-05 价格、服务额度、税费与真实成本复算</x:v>
      </x:c>
      <x:c r="G1" s="3" t="str">
        <x:v>M7-05 价格、服务额度、税费与真实成本复算</x:v>
      </x:c>
      <x:c r="H1" s="3" t="str">
        <x:v>M7-05 价格、服务额度、税费与真实成本复算</x:v>
      </x:c>
      <x:c r="I1" s="3" t="str">
        <x:v>M7-05 价格、服务额度、税费与真实成本复算</x:v>
      </x:c>
      <x:c r="J1" s="3" t="str">
        <x:v>M7-05 价格、服务额度、税费与真实成本复算</x:v>
      </x:c>
      <x:c r="K1" s="3" t="str">
        <x:v>M7-05 价格、服务额度、税费与真实成本复算</x:v>
      </x:c>
      <x:c r="L1" s="3" t="str">
        <x:v>M7-05 价格、服务额度、税费与真实成本复算</x:v>
      </x:c>
      <x:c r="M1" s="3" t="str">
        <x:v>M7-05 价格、服务额度、税费与真实成本复算</x:v>
      </x:c>
      <x:c r="N1" s="3" t="str">
        <x:v>M7-05 价格、服务额度、税费与真实成本复算</x:v>
      </x:c>
    </x:row>
    <x:row r="2" ht="28" customHeight="1">
      <x:c r="A2" s="7" t="str">
        <x:v>INTERNAL_REHEARSAL_ONLY：价格可持续性已形成可调模型，但正式收费、客户交付和公开发布仍被M6、M7-02第二样本及M7-06阻断。</x:v>
      </x:c>
      <x:c r="B2" s="7" t="str">
        <x:v>INTERNAL_REHEARSAL_ONLY：价格可持续性已形成可调模型，但正式收费、客户交付和公开发布仍被M6、M7-02第二样本及M7-06阻断。</x:v>
      </x:c>
      <x:c r="C2" s="7" t="str">
        <x:v>INTERNAL_REHEARSAL_ONLY：价格可持续性已形成可调模型，但正式收费、客户交付和公开发布仍被M6、M7-02第二样本及M7-06阻断。</x:v>
      </x:c>
      <x:c r="D2" s="7" t="str">
        <x:v>INTERNAL_REHEARSAL_ONLY：价格可持续性已形成可调模型，但正式收费、客户交付和公开发布仍被M6、M7-02第二样本及M7-06阻断。</x:v>
      </x:c>
      <x:c r="E2" s="7" t="str">
        <x:v>INTERNAL_REHEARSAL_ONLY：价格可持续性已形成可调模型，但正式收费、客户交付和公开发布仍被M6、M7-02第二样本及M7-06阻断。</x:v>
      </x:c>
      <x:c r="F2" s="7" t="str">
        <x:v>INTERNAL_REHEARSAL_ONLY：价格可持续性已形成可调模型，但正式收费、客户交付和公开发布仍被M6、M7-02第二样本及M7-06阻断。</x:v>
      </x:c>
      <x:c r="G2" s="7" t="str">
        <x:v>INTERNAL_REHEARSAL_ONLY：价格可持续性已形成可调模型，但正式收费、客户交付和公开发布仍被M6、M7-02第二样本及M7-06阻断。</x:v>
      </x:c>
      <x:c r="H2" s="7" t="str">
        <x:v>INTERNAL_REHEARSAL_ONLY：价格可持续性已形成可调模型，但正式收费、客户交付和公开发布仍被M6、M7-02第二样本及M7-06阻断。</x:v>
      </x:c>
      <x:c r="I2" s="7" t="str">
        <x:v>INTERNAL_REHEARSAL_ONLY：价格可持续性已形成可调模型，但正式收费、客户交付和公开发布仍被M6、M7-02第二样本及M7-06阻断。</x:v>
      </x:c>
      <x:c r="J2" s="7" t="str">
        <x:v>INTERNAL_REHEARSAL_ONLY：价格可持续性已形成可调模型，但正式收费、客户交付和公开发布仍被M6、M7-02第二样本及M7-06阻断。</x:v>
      </x:c>
      <x:c r="K2" s="7" t="str">
        <x:v>INTERNAL_REHEARSAL_ONLY：价格可持续性已形成可调模型，但正式收费、客户交付和公开发布仍被M6、M7-02第二样本及M7-06阻断。</x:v>
      </x:c>
      <x:c r="L2" s="7" t="str">
        <x:v>INTERNAL_REHEARSAL_ONLY：价格可持续性已形成可调模型，但正式收费、客户交付和公开发布仍被M6、M7-02第二样本及M7-06阻断。</x:v>
      </x:c>
      <x:c r="M2" s="7" t="str">
        <x:v>INTERNAL_REHEARSAL_ONLY：价格可持续性已形成可调模型，但正式收费、客户交付和公开发布仍被M6、M7-02第二样本及M7-06阻断。</x:v>
      </x:c>
      <x:c r="N2" s="7" t="str">
        <x:v>INTERNAL_REHEARSAL_ONLY：价格可持续性已形成可调模型，但正式收费、客户交付和公开发布仍被M6、M7-02第二样本及M7-06阻断。</x:v>
      </x:c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30" customHeight="1">
      <x:c r="A4" s="12" t="str">
        <x:v>服务</x:v>
      </x:c>
      <x:c r="B4" s="12" t="str">
        <x:v>目标价</x:v>
      </x:c>
      <x:c r="C4" s="12" t="str">
        <x:v>保守贡献毛利</x:v>
      </x:c>
      <x:c r="D4" s="12" t="str">
        <x:v>毛利率</x:v>
      </x:c>
      <x:c r="E4" s="12" t="str">
        <x:v>额度/边界</x:v>
      </x:c>
      <x:c r="F4" s="12" t="str">
        <x:v>M7-05结论</x:v>
      </x:c>
      <x:c r="G4" s="34"/>
      <x:c r="H4" s="35" t="str">
        <x:v>服务</x:v>
      </x:c>
      <x:c r="I4" s="35" t="str">
        <x:v>贡献毛利率</x:v>
      </x:c>
      <x:c r="J4" s="34"/>
      <x:c r="K4" s="34"/>
      <x:c r="L4" s="34"/>
      <x:c r="M4" s="34"/>
      <x:c r="N4" s="34"/>
    </x:row>
    <x:row r="5">
      <x:c r="A5" s="16" t="str">
        <x:f>'服务成本'!A5</x:f>
        <x:v>自助部署</x:v>
      </x:c>
      <x:c r="B5" s="20" t="n">
        <x:f>'服务成本'!C5</x:f>
        <x:v>0</x:v>
      </x:c>
      <x:c r="C5" s="20" t="n">
        <x:f>'服务成本'!O5</x:f>
        <x:v>0</x:v>
      </x:c>
      <x:c r="D5" s="22" t="n">
        <x:f>'服务成本'!P5</x:f>
        <x:v>0</x:v>
      </x:c>
      <x:c r="E5" s="16" t="str">
        <x:v>软件¥0；不含人工实施</x:v>
      </x:c>
      <x:c r="F5" s="16" t="str">
        <x:v>保持；正式开源/发布门槛不变</x:v>
      </x:c>
      <x:c r="G5" s="34"/>
      <x:c r="H5" s="35" t="str">
        <x:f>'服务成本'!A5</x:f>
        <x:v>自助部署</x:v>
      </x:c>
      <x:c r="I5" s="36" t="n">
        <x:f>'服务成本'!P5</x:f>
        <x:v>0</x:v>
      </x:c>
      <x:c r="J5" s="34"/>
      <x:c r="K5" s="34"/>
      <x:c r="L5" s="34"/>
      <x:c r="M5" s="34"/>
      <x:c r="N5" s="34"/>
    </x:row>
    <x:row r="6">
      <x:c r="A6" s="16" t="str">
        <x:f>'服务成本'!A6</x:f>
        <x:v>标准客户云部署</x:v>
      </x:c>
      <x:c r="B6" s="20" t="n">
        <x:f>'服务成本'!C6</x:f>
        <x:v>349</x:v>
      </x:c>
      <x:c r="C6" s="20" t="n">
        <x:f>'服务成本'!O6</x:f>
        <x:v>141.32528301886794</x:v>
      </x:c>
      <x:c r="D6" s="22" t="n">
        <x:f>'服务成本'!P6</x:f>
        <x:v>0.4049435043520571</x:v>
      </x:c>
      <x:c r="E6" s="16" t="str">
        <x:v>主动人工≤2小时</x:v>
      </x:c>
      <x:c r="F6" s="16" t="str">
        <x:v>保留¥349目标价</x:v>
      </x:c>
      <x:c r="G6" s="34"/>
      <x:c r="H6" s="35" t="str">
        <x:f>'服务成本'!A6</x:f>
        <x:v>标准客户云部署</x:v>
      </x:c>
      <x:c r="I6" s="36" t="n">
        <x:f>'服务成本'!P6</x:f>
        <x:v>0.4049435043520571</x:v>
      </x:c>
      <x:c r="J6" s="34"/>
      <x:c r="K6" s="34"/>
      <x:c r="L6" s="34"/>
      <x:c r="M6" s="34"/>
      <x:c r="N6" s="34"/>
    </x:row>
    <x:row r="7">
      <x:c r="A7" s="16" t="str">
        <x:f>'服务成本'!A7</x:f>
        <x:v>本地电脑/NAS部署</x:v>
      </x:c>
      <x:c r="B7" s="20" t="n">
        <x:f>'服务成本'!C7</x:f>
        <x:v>649</x:v>
      </x:c>
      <x:c r="C7" s="20" t="n">
        <x:f>'服务成本'!O7</x:f>
        <x:v>227.36415094339623</x:v>
      </x:c>
      <x:c r="D7" s="22" t="n">
        <x:f>'服务成本'!P7</x:f>
        <x:v>0.35032997063697413</x:v>
      </x:c>
      <x:c r="E7" s="16" t="str">
        <x:v>Certified环境且主动人工≤4小时</x:v>
      </x:c>
      <x:c r="F7" s="16" t="str">
        <x:v>暂不发布，等待M7-06</x:v>
      </x:c>
      <x:c r="G7" s="34"/>
      <x:c r="H7" s="35" t="str">
        <x:f>'服务成本'!A7</x:f>
        <x:v>本地电脑/NAS部署</x:v>
      </x:c>
      <x:c r="I7" s="36" t="n">
        <x:f>'服务成本'!P7</x:f>
        <x:v>0.35032997063697413</x:v>
      </x:c>
      <x:c r="J7" s="34"/>
      <x:c r="K7" s="34"/>
      <x:c r="L7" s="34"/>
      <x:c r="M7" s="34"/>
      <x:c r="N7" s="34"/>
    </x:row>
    <x:row r="8">
      <x:c r="A8" s="16" t="str">
        <x:f>'服务成本'!A8</x:f>
        <x:v>安心维护</x:v>
      </x:c>
      <x:c r="B8" s="20" t="n">
        <x:f>'服务成本'!C8</x:f>
        <x:v>349</x:v>
      </x:c>
      <x:c r="C8" s="20" t="n">
        <x:f>'服务成本'!O8</x:f>
        <x:v>121.32528301886794</x:v>
      </x:c>
      <x:c r="D8" s="22" t="n">
        <x:f>'服务成本'!P8</x:f>
        <x:v>0.34763691409417746</x:v>
      </x:c>
      <x:c r="E8" s="16" t="str">
        <x:v>4次联系；全年合计≤120分钟</x:v>
      </x:c>
      <x:c r="F8" s="16" t="str">
        <x:v>保留¥349；明确调整旧4小时额度</x:v>
      </x:c>
      <x:c r="G8" s="34"/>
      <x:c r="H8" s="35" t="str">
        <x:f>'服务成本'!A8</x:f>
        <x:v>安心维护</x:v>
      </x:c>
      <x:c r="I8" s="36" t="n">
        <x:f>'服务成本'!P8</x:f>
        <x:v>0.34763691409417746</x:v>
      </x:c>
      <x:c r="J8" s="34"/>
      <x:c r="K8" s="34"/>
      <x:c r="L8" s="34"/>
      <x:c r="M8" s="34"/>
      <x:c r="N8" s="34"/>
    </x:row>
    <x:row r="9">
      <x:c r="A9" s="16" t="str">
        <x:f>'服务成本'!A9</x:f>
        <x:v>代运维</x:v>
      </x:c>
      <x:c r="B9" s="20" t="n">
        <x:f>'服务成本'!C9</x:f>
        <x:v>995</x:v>
      </x:c>
      <x:c r="C9" s="20" t="n">
        <x:f>'服务成本'!O9</x:f>
        <x:v>379.07924528301885</x:v>
      </x:c>
      <x:c r="D9" s="22" t="n">
        <x:f>'服务成本'!P9</x:f>
        <x:v>0.38098416611358676</x:v>
      </x:c>
      <x:c r="E9" s="16" t="str">
        <x:v>年度主动人工≤6小时；恢复另计</x:v>
      </x:c>
      <x:c r="F9" s="16" t="str">
        <x:v>保留¥995目标价，异机通知样本前暂不发布</x:v>
      </x:c>
      <x:c r="G9" s="34"/>
      <x:c r="H9" s="35" t="str">
        <x:f>'服务成本'!A9</x:f>
        <x:v>代运维</x:v>
      </x:c>
      <x:c r="I9" s="36" t="n">
        <x:f>'服务成本'!P9</x:f>
        <x:v>0.38098416611358676</x:v>
      </x:c>
      <x:c r="J9" s="34"/>
      <x:c r="K9" s="34"/>
      <x:c r="L9" s="34"/>
      <x:c r="M9" s="34"/>
      <x:c r="N9" s="34"/>
    </x:row>
    <x:row r="10">
      <x:c r="A10" s="16" t="str">
        <x:f>'服务成本'!A10</x:f>
        <x:v>标准数据迁移</x:v>
      </x:c>
      <x:c r="B10" s="20" t="n">
        <x:f>'服务成本'!C10</x:f>
        <x:v>249</x:v>
      </x:c>
      <x:c r="C10" s="20" t="n">
        <x:f>'服务成本'!O10</x:f>
        <x:v>74.9856603773585</x:v>
      </x:c>
      <x:c r="D10" s="22" t="n">
        <x:f>'服务成本'!P10</x:f>
        <x:v>0.30114723043115865</x:v>
      </x:c>
      <x:c r="E10" s="16" t="str">
        <x:v>支持模板≤1,000行；≤1.75小时</x:v>
      </x:c>
      <x:c r="F10" s="16" t="str">
        <x:v>保留¥249起</x:v>
      </x:c>
      <x:c r="G10" s="34"/>
      <x:c r="H10" s="35" t="str">
        <x:f>'服务成本'!A10</x:f>
        <x:v>标准数据迁移</x:v>
      </x:c>
      <x:c r="I10" s="36" t="n">
        <x:f>'服务成本'!P10</x:f>
        <x:v>0.30114723043115865</x:v>
      </x:c>
      <x:c r="J10" s="34"/>
      <x:c r="K10" s="34"/>
      <x:c r="L10" s="34"/>
      <x:c r="M10" s="34"/>
      <x:c r="N10" s="34"/>
    </x:row>
    <x:row r="11">
      <x:c r="A11" s="16" t="str">
        <x:f>'服务成本'!A11</x:f>
        <x:v>非标准/定制/接口</x:v>
      </x:c>
      <x:c r="B11" s="20" t="n">
        <x:f>'服务成本'!C11</x:f>
        <x:v>150</x:v>
      </x:c>
      <x:c r="C11" s="20" t="n">
        <x:f>'服务成本'!O11</x:f>
        <x:v>49.509433962264154</x:v>
      </x:c>
      <x:c r="D11" s="22" t="n">
        <x:f>'服务成本'!P11</x:f>
        <x:v>0.330062893081761</x:v>
      </x:c>
      <x:c r="E11" s="16" t="str">
        <x:v>最低1小时，之后0.5小时递增</x:v>
      </x:c>
      <x:c r="F11" s="16" t="str">
        <x:v>保留¥150/小时</x:v>
      </x:c>
      <x:c r="G11" s="34"/>
      <x:c r="H11" s="35" t="str">
        <x:f>'服务成本'!A11</x:f>
        <x:v>非标准/定制/接口</x:v>
      </x:c>
      <x:c r="I11" s="36" t="n">
        <x:f>'服务成本'!P11</x:f>
        <x:v>0.330062893081761</x:v>
      </x:c>
      <x:c r="J11" s="34"/>
      <x:c r="K11" s="34"/>
      <x:c r="L11" s="34"/>
      <x:c r="M11" s="34"/>
      <x:c r="N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 ht="30" customHeight="1">
      <x:c r="A14" s="12" t="str">
        <x:v>总判断</x:v>
      </x:c>
      <x:c r="B14" s="12" t="str">
        <x:v>结论</x:v>
      </x:c>
      <x:c r="C14" s="12" t="str">
        <x:v>依据</x:v>
      </x:c>
      <x:c r="D14" s="12" t="str">
        <x:v>风险</x:v>
      </x:c>
      <x:c r="E14" s="12" t="str">
        <x:v>下一动作</x:v>
      </x:c>
      <x:c r="F14" s="12" t="str">
        <x:v>正式状态</x:v>
      </x:c>
      <x:c r="G14" s="34"/>
      <x:c r="H14" s="34"/>
      <x:c r="I14" s="34"/>
      <x:c r="J14" s="34"/>
      <x:c r="K14" s="34"/>
      <x:c r="L14" s="34"/>
      <x:c r="M14" s="34"/>
      <x:c r="N14" s="34"/>
    </x:row>
    <x:row r="15">
      <x:c r="A15" s="16" t="str">
        <x:v>价格</x:v>
      </x:c>
      <x:c r="B15" s="16" t="str">
        <x:v>不需要整体涨价</x:v>
      </x:c>
      <x:c r="C15" s="16" t="str">
        <x:v>保守6%税费下有价服务均达到30%贡献目标</x:v>
      </x:c>
      <x:c r="D15" s="16" t="str">
        <x:v>前提是严格执行工时和范围</x:v>
      </x:c>
      <x:c r="E15" s="16" t="str">
        <x:v>首批真实订单逐单复算</x:v>
      </x:c>
      <x:c r="F15" s="16" t="str">
        <x:v>内部目标价</x:v>
      </x:c>
      <x:c r="G15" s="34"/>
      <x:c r="H15" s="34"/>
      <x:c r="I15" s="34"/>
      <x:c r="J15" s="34"/>
      <x:c r="K15" s="34"/>
      <x:c r="L15" s="34"/>
      <x:c r="M15" s="34"/>
      <x:c r="N15" s="34"/>
    </x:row>
    <x:row r="16">
      <x:c r="A16" s="16" t="str">
        <x:v>维护额度</x:v>
      </x:c>
      <x:c r="B16" s="16" t="str">
        <x:v>必须调整</x:v>
      </x:c>
      <x:c r="C16" s="16" t="str">
        <x:v>旧4×60分钟会把¥349压到不可持续区间</x:v>
      </x:c>
      <x:c r="D16" s="16" t="str">
        <x:v>销售口径不一致会形成无限服务</x:v>
      </x:c>
      <x:c r="E16" s="16" t="str">
        <x:v>改为4次联系、全年≤120分钟</x:v>
      </x:c>
      <x:c r="F16" s="16" t="str">
        <x:v>未正式发布</x:v>
      </x:c>
      <x:c r="G16" s="34"/>
      <x:c r="H16" s="34"/>
      <x:c r="I16" s="34"/>
      <x:c r="J16" s="34"/>
      <x:c r="K16" s="34"/>
      <x:c r="L16" s="34"/>
      <x:c r="M16" s="34"/>
      <x:c r="N16" s="34"/>
    </x:row>
    <x:row r="17">
      <x:c r="A17" s="16" t="str">
        <x:v>本地/代运维</x:v>
      </x:c>
      <x:c r="B17" s="16" t="str">
        <x:v>价格保留但暂不发布</x:v>
      </x:c>
      <x:c r="C17" s="16" t="str">
        <x:v>缺实体/多环境与异机告警正式样本</x:v>
      </x:c>
      <x:c r="D17" s="16" t="str">
        <x:v>硬件、网络和恢复人工不可控</x:v>
      </x:c>
      <x:c r="E17" s="16" t="str">
        <x:v>完成M7-06和异机样本</x:v>
      </x:c>
      <x:c r="F17" s="16" t="str">
        <x:v>FORMAL_RELEASE_BLOCKED</x:v>
      </x:c>
      <x:c r="G17" s="34"/>
      <x:c r="H17" s="34"/>
      <x:c r="I17" s="34"/>
      <x:c r="J17" s="34"/>
      <x:c r="K17" s="34"/>
      <x:c r="L17" s="34"/>
      <x:c r="M17" s="34"/>
      <x:c r="N17" s="34"/>
    </x:row>
    <x:row r="18">
      <x:c r="A18" s="16" t="str">
        <x:v>税务</x:v>
      </x:c>
      <x:c r="B18" s="16" t="str">
        <x:v>模型覆盖0%/1%/6%</x:v>
      </x:c>
      <x:c r="C18" s="16" t="str">
        <x:v>现行官方法规已入来源表</x:v>
      </x:c>
      <x:c r="D18" s="16" t="str">
        <x:v>实际税目和企业资格未签字</x:v>
      </x:c>
      <x:c r="E18" s="16" t="str">
        <x:v>首次收费前由会计复核</x:v>
      </x:c>
      <x:c r="F18" s="16" t="str">
        <x:v>FORMAL_RELEASE_BLOCKED</x:v>
      </x:c>
      <x:c r="G18" s="34"/>
      <x:c r="H18" s="34"/>
      <x:c r="I18" s="34"/>
      <x:c r="J18" s="34"/>
      <x:c r="K18" s="34"/>
      <x:c r="L18" s="34"/>
      <x:c r="M18" s="34"/>
      <x:c r="N18" s="34"/>
    </x:row>
  </x:sheetData>
  <x:mergeCells>
    <x:mergeCell ref="A1:N1"/>
    <x:mergeCell ref="A2:N2"/>
  </x:mergeCells>
  <x:conditionalFormatting sqref="F5:F11">
    <x:cfRule type="expression" dxfId="4" priority="1">
      <x:formula>ISNUMBER(SEARCH("暂不发布",F5))</x:formula>
    </x:cfRule>
    <x:cfRule type="expression" dxfId="5" priority="2">
      <x:formula>ISNUMBER(SEARCH("保留",F5))</x:formula>
    </x:cfRule>
  </x:conditionalFormatting>
  <x:pageMargins left="0.7" right="0.7" top="0.75" bottom="0.75" header="0.3" footer="0.3"/>
  <x:drawing xmlns:r="http://schemas.openxmlformats.org/officeDocument/2006/relationships" r:id="R8ef407f3ab9c43a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54" hidden="0" customWidth="1"/>
  </x:cols>
  <x:sheetData>
    <x:row r="1" ht="30" customHeight="1">
      <x:c r="A1" s="3" t="str">
        <x:v>M7-05 成本复算参数</x:v>
      </x:c>
      <x:c r="B1" s="3" t="str">
        <x:v>M7-05 成本复算参数</x:v>
      </x:c>
      <x:c r="C1" s="3" t="str">
        <x:v>M7-05 成本复算参数</x:v>
      </x:c>
      <x:c r="D1" s="3" t="str">
        <x:v>M7-05 成本复算参数</x:v>
      </x:c>
    </x:row>
    <x:row r="2" ht="28" customHeight="1">
      <x:c r="A2" s="7" t="str">
        <x:v>蓝色数字是可编辑假设；所有结论均为 INTERNAL_REHEARSAL_ONLY，不是正式报价或税务结论。</x:v>
      </x:c>
      <x:c r="B2" s="7" t="str">
        <x:v>蓝色数字是可编辑假设；所有结论均为 INTERNAL_REHEARSAL_ONLY，不是正式报价或税务结论。</x:v>
      </x:c>
      <x:c r="C2" s="7" t="str">
        <x:v>蓝色数字是可编辑假设；所有结论均为 INTERNAL_REHEARSAL_ONLY，不是正式报价或税务结论。</x:v>
      </x:c>
      <x:c r="D2" s="7" t="str">
        <x:v>蓝色数字是可编辑假设；所有结论均为 INTERNAL_REHEARSAL_ONLY，不是正式报价或税务结论。</x:v>
      </x:c>
    </x:row>
    <x:row r="3">
      <x:c r="A3" s="34"/>
      <x:c r="B3" s="34"/>
      <x:c r="C3" s="34"/>
      <x:c r="D3" s="34"/>
    </x:row>
    <x:row r="4" ht="30" customHeight="1">
      <x:c r="A4" s="12" t="str">
        <x:v>参数</x:v>
      </x:c>
      <x:c r="B4" s="12" t="str">
        <x:v>取值</x:v>
      </x:c>
      <x:c r="C4" s="12" t="str">
        <x:v>单位</x:v>
      </x:c>
      <x:c r="D4" s="12" t="str">
        <x:v>使用说明</x:v>
      </x:c>
    </x:row>
    <x:row r="5">
      <x:c r="A5" s="16" t="str">
        <x:v>全成本人工单价</x:v>
      </x:c>
      <x:c r="B5" s="18" t="n">
        <x:v>80</x:v>
      </x:c>
      <x:c r="C5" s="16" t="str">
        <x:v>元/小时</x:v>
      </x:c>
      <x:c r="D5" s="16" t="str">
        <x:v>工资、社保、办公、管理和非计费时间的综合内部成本</x:v>
      </x:c>
    </x:row>
    <x:row r="6">
      <x:c r="A6" s="16" t="str">
        <x:v>保守增值税情景</x:v>
      </x:c>
      <x:c r="B6" s="19" t="n">
        <x:v>0.06</x:v>
      </x:c>
      <x:c r="C6" s="16" t="str">
        <x:v>%</x:v>
      </x:c>
      <x:c r="D6" s="16" t="str">
        <x:v>一般纳税人现代服务6%情景；实际按企业身份和交易性质确认</x:v>
      </x:c>
    </x:row>
    <x:row r="7">
      <x:c r="A7" s="16" t="str">
        <x:v>第三方支付费率</x:v>
      </x:c>
      <x:c r="B7" s="19" t="n">
        <x:v>0</x:v>
      </x:c>
      <x:c r="C7" s="16" t="str">
        <x:v>%</x:v>
      </x:c>
      <x:c r="D7" s="16" t="str">
        <x:v>默认银行转账；第三方支付情景另见敏感性</x:v>
      </x:c>
    </x:row>
    <x:row r="8">
      <x:c r="A8" s="16" t="str">
        <x:v>目标贡献毛利率</x:v>
      </x:c>
      <x:c r="B8" s="19" t="n">
        <x:v>0.3</x:v>
      </x:c>
      <x:c r="C8" s="16" t="str">
        <x:v>%</x:v>
      </x:c>
      <x:c r="D8" s="16" t="str">
        <x:v>覆盖不可预见支持、持续研发和经营风险的最低内部目标</x:v>
      </x:c>
    </x:row>
    <x:row r="9">
      <x:c r="A9" s="16" t="str">
        <x:v>小型微利企业所得税有效税率</x:v>
      </x:c>
      <x:c r="B9" s="19" t="n">
        <x:v>0.05</x:v>
      </x:c>
      <x:c r="C9" s="16" t="str">
        <x:v>%</x:v>
      </x:c>
      <x:c r="D9" s="16" t="str">
        <x:v>仅作税后敏感性；须同时满足现行条件，不能直接视为企业实际税率</x:v>
      </x:c>
    </x:row>
    <x:row r="10">
      <x:c r="A10" s="16" t="str">
        <x:v>部署退款/安全储备</x:v>
      </x:c>
      <x:c r="B10" s="19" t="n">
        <x:v>0.08</x:v>
      </x:c>
      <x:c r="C10" s="16" t="str">
        <x:v>%</x:v>
      </x:c>
      <x:c r="D10" s="16" t="str">
        <x:v>部署、维护、迁移和定制的退款、重做与安全响应准备</x:v>
      </x:c>
    </x:row>
    <x:row r="11">
      <x:c r="A11" s="16" t="str">
        <x:v>本地/NAS储备</x:v>
      </x:c>
      <x:c r="B11" s="19" t="n">
        <x:v>0.1</x:v>
      </x:c>
      <x:c r="C11" s="16" t="str">
        <x:v>%</x:v>
      </x:c>
      <x:c r="D11" s="16" t="str">
        <x:v>硬件、局域网和外设不确定性更高</x:v>
      </x:c>
    </x:row>
    <x:row r="12">
      <x:c r="A12" s="16" t="str">
        <x:v>本次复算日期</x:v>
      </x:c>
      <x:c r="B12" s="16" t="str">
        <x:v>2026-07-18</x:v>
      </x:c>
      <x:c r="C12" s="16" t="str">
        <x:v>日期</x:v>
      </x:c>
      <x:c r="D12" s="16" t="str">
        <x:v>以M7-02至M7-04内部演练证据为基础</x:v>
      </x:c>
    </x:row>
    <x:row r="13">
      <x:c r="A13" s="34"/>
      <x:c r="B13" s="34"/>
      <x:c r="C13" s="34"/>
      <x:c r="D13" s="34"/>
    </x:row>
    <x:row r="14" ht="30" customHeight="1">
      <x:c r="A14" s="12" t="str">
        <x:v>口径</x:v>
      </x:c>
      <x:c r="B14" s="12" t="str">
        <x:v>公式/边界</x:v>
      </x:c>
      <x:c r="C14" s="12" t="str">
        <x:v>是否进入单笔成本</x:v>
      </x:c>
      <x:c r="D14" s="12" t="str">
        <x:v>原因</x:v>
      </x:c>
    </x:row>
    <x:row r="15">
      <x:c r="A15" s="16" t="str">
        <x:v>贡献毛利</x:v>
      </x:c>
      <x:c r="B15" s="16" t="str">
        <x:v>含税价－价内税－支付费－标准人工－售后人工－直接费用－风险储备</x:v>
      </x:c>
      <x:c r="C15" s="16" t="str">
        <x:v>是</x:v>
      </x:c>
      <x:c r="D15" s="16" t="str">
        <x:v>用于判断当前价格能否持续</x:v>
      </x:c>
    </x:row>
    <x:row r="16">
      <x:c r="A16" s="16" t="str">
        <x:v>产品研发</x:v>
      </x:c>
      <x:c r="B16" s="16" t="str">
        <x:v>跨客户共用的产品、安装器和安全研发</x:v>
      </x:c>
      <x:c r="C16" s="16" t="str">
        <x:v>否，单独观察</x:v>
      </x:c>
      <x:c r="D16" s="16" t="str">
        <x:v>不能把一次研发缺陷伪装成标准客户交付成本</x:v>
      </x:c>
    </x:row>
    <x:row r="17">
      <x:c r="A17" s="16" t="str">
        <x:v>企业所得税</x:v>
      </x:c>
      <x:c r="B17" s="16" t="str">
        <x:v>对符合条件的正应纳税所得额做单独敏感性</x:v>
      </x:c>
      <x:c r="C17" s="16" t="str">
        <x:v>否</x:v>
      </x:c>
      <x:c r="D17" s="16" t="str">
        <x:v>不是订单级现金成本，且须由会计确认资格和应纳税所得额</x:v>
      </x:c>
    </x:row>
  </x:sheetData>
  <x:mergeCells>
    <x:mergeCell ref="A1:D1"/>
    <x:mergeCell ref="A2:D2"/>
  </x:mergeCells>
  <x:dataValidations count="2">
    <x:dataValidation type="list" sqref="B6">
      <x:formula1>"0,0.01,0.06"</x:formula1>
    </x:dataValidation>
    <x:dataValidation type="list" sqref="B7">
      <x:formula1>"0,0.006"</x:formula1>
    </x:dataValidation>
  </x:dataValidations>
  <x:pageMargins left="0.7" right="0.7" top="0.75" bottom="0.75" header="0.3" footer="0.3"/>
  <x:legacyDrawing xmlns:r="http://schemas.openxmlformats.org/officeDocument/2006/relationships" r:id="R5f756576e50343b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42" hidden="0" customWidth="1"/>
    <x:col min="5" max="5" width="2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2" hidden="0" customWidth="1"/>
  </x:cols>
  <x:sheetData>
    <x:row r="1" ht="30" customHeight="1">
      <x:c r="A1" s="3" t="str">
        <x:v>服务价格、额度与真实成本</x:v>
      </x:c>
      <x:c r="B1" s="3" t="str">
        <x:v>服务价格、额度与真实成本</x:v>
      </x:c>
      <x:c r="C1" s="3" t="str">
        <x:v>服务价格、额度与真实成本</x:v>
      </x:c>
      <x:c r="D1" s="3" t="str">
        <x:v>服务价格、额度与真实成本</x:v>
      </x:c>
      <x:c r="E1" s="3" t="str">
        <x:v>服务价格、额度与真实成本</x:v>
      </x:c>
      <x:c r="F1" s="3" t="str">
        <x:v>服务价格、额度与真实成本</x:v>
      </x:c>
      <x:c r="G1" s="3" t="str">
        <x:v>服务价格、额度与真实成本</x:v>
      </x:c>
      <x:c r="H1" s="3" t="str">
        <x:v>服务价格、额度与真实成本</x:v>
      </x:c>
      <x:c r="I1" s="3" t="str">
        <x:v>服务价格、额度与真实成本</x:v>
      </x:c>
      <x:c r="J1" s="3" t="str">
        <x:v>服务价格、额度与真实成本</x:v>
      </x:c>
      <x:c r="K1" s="3" t="str">
        <x:v>服务价格、额度与真实成本</x:v>
      </x:c>
      <x:c r="L1" s="3" t="str">
        <x:v>服务价格、额度与真实成本</x:v>
      </x:c>
      <x:c r="M1" s="3" t="str">
        <x:v>服务价格、额度与真实成本</x:v>
      </x:c>
      <x:c r="N1" s="3" t="str">
        <x:v>服务价格、额度与真实成本</x:v>
      </x:c>
      <x:c r="O1" s="3" t="str">
        <x:v>服务价格、额度与真实成本</x:v>
      </x:c>
      <x:c r="P1" s="3" t="str">
        <x:v>服务价格、额度与真实成本</x:v>
      </x:c>
      <x:c r="Q1" s="3" t="str">
        <x:v>服务价格、额度与真实成本</x:v>
      </x:c>
      <x:c r="R1" s="3" t="str">
        <x:v>服务价格、额度与真实成本</x:v>
      </x:c>
    </x:row>
    <x:row r="2" ht="28" customHeight="1">
      <x:c r="A2" s="7" t="str">
        <x:v>公式由参数表驱动；研发工时单列，不向单个客户摊派。发布结论仍受M6、M7-02和M7-06门槛约束。</x:v>
      </x:c>
      <x:c r="B2" s="7" t="str">
        <x:v>公式由参数表驱动；研发工时单列，不向单个客户摊派。发布结论仍受M6、M7-02和M7-06门槛约束。</x:v>
      </x:c>
      <x:c r="C2" s="7" t="str">
        <x:v>公式由参数表驱动；研发工时单列，不向单个客户摊派。发布结论仍受M6、M7-02和M7-06门槛约束。</x:v>
      </x:c>
      <x:c r="D2" s="7" t="str">
        <x:v>公式由参数表驱动；研发工时单列，不向单个客户摊派。发布结论仍受M6、M7-02和M7-06门槛约束。</x:v>
      </x:c>
      <x:c r="E2" s="7" t="str">
        <x:v>公式由参数表驱动；研发工时单列，不向单个客户摊派。发布结论仍受M6、M7-02和M7-06门槛约束。</x:v>
      </x:c>
      <x:c r="F2" s="7" t="str">
        <x:v>公式由参数表驱动；研发工时单列，不向单个客户摊派。发布结论仍受M6、M7-02和M7-06门槛约束。</x:v>
      </x:c>
      <x:c r="G2" s="7" t="str">
        <x:v>公式由参数表驱动；研发工时单列，不向单个客户摊派。发布结论仍受M6、M7-02和M7-06门槛约束。</x:v>
      </x:c>
      <x:c r="H2" s="7" t="str">
        <x:v>公式由参数表驱动；研发工时单列，不向单个客户摊派。发布结论仍受M6、M7-02和M7-06门槛约束。</x:v>
      </x:c>
      <x:c r="I2" s="7" t="str">
        <x:v>公式由参数表驱动；研发工时单列，不向单个客户摊派。发布结论仍受M6、M7-02和M7-06门槛约束。</x:v>
      </x:c>
      <x:c r="J2" s="7" t="str">
        <x:v>公式由参数表驱动；研发工时单列，不向单个客户摊派。发布结论仍受M6、M7-02和M7-06门槛约束。</x:v>
      </x:c>
      <x:c r="K2" s="7" t="str">
        <x:v>公式由参数表驱动；研发工时单列，不向单个客户摊派。发布结论仍受M6、M7-02和M7-06门槛约束。</x:v>
      </x:c>
      <x:c r="L2" s="7" t="str">
        <x:v>公式由参数表驱动；研发工时单列，不向单个客户摊派。发布结论仍受M6、M7-02和M7-06门槛约束。</x:v>
      </x:c>
      <x:c r="M2" s="7" t="str">
        <x:v>公式由参数表驱动；研发工时单列，不向单个客户摊派。发布结论仍受M6、M7-02和M7-06门槛约束。</x:v>
      </x:c>
      <x:c r="N2" s="7" t="str">
        <x:v>公式由参数表驱动；研发工时单列，不向单个客户摊派。发布结论仍受M6、M7-02和M7-06门槛约束。</x:v>
      </x:c>
      <x:c r="O2" s="7" t="str">
        <x:v>公式由参数表驱动；研发工时单列，不向单个客户摊派。发布结论仍受M6、M7-02和M7-06门槛约束。</x:v>
      </x:c>
      <x:c r="P2" s="7" t="str">
        <x:v>公式由参数表驱动；研发工时单列，不向单个客户摊派。发布结论仍受M6、M7-02和M7-06门槛约束。</x:v>
      </x:c>
      <x:c r="Q2" s="7" t="str">
        <x:v>公式由参数表驱动；研发工时单列，不向单个客户摊派。发布结论仍受M6、M7-02和M7-06门槛约束。</x:v>
      </x:c>
      <x:c r="R2" s="7" t="str">
        <x:v>公式由参数表驱动；研发工时单列，不向单个客户摊派。发布结论仍受M6、M7-02和M7-06门槛约束。</x:v>
      </x:c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</x:row>
    <x:row r="4" ht="30" customHeight="1">
      <x:c r="A4" s="12" t="str">
        <x:v>服务</x:v>
      </x:c>
      <x:c r="B4" s="12" t="str">
        <x:v>计费单位</x:v>
      </x:c>
      <x:c r="C4" s="12" t="str">
        <x:v>含税目标价</x:v>
      </x:c>
      <x:c r="D4" s="12" t="str">
        <x:v>标准人工</x:v>
      </x:c>
      <x:c r="E4" s="12" t="str">
        <x:v>预期售后人工</x:v>
      </x:c>
      <x:c r="F4" s="12" t="str">
        <x:v>直接费用</x:v>
      </x:c>
      <x:c r="G4" s="12" t="str">
        <x:v>风险储备率</x:v>
      </x:c>
      <x:c r="H4" s="12" t="str">
        <x:v>税率</x:v>
      </x:c>
      <x:c r="I4" s="12" t="str">
        <x:v>支付费率</x:v>
      </x:c>
      <x:c r="J4" s="12" t="str">
        <x:v>人工成本</x:v>
      </x:c>
      <x:c r="K4" s="12" t="str">
        <x:v>价内增值税</x:v>
      </x:c>
      <x:c r="L4" s="12" t="str">
        <x:v>支付费</x:v>
      </x:c>
      <x:c r="M4" s="12" t="str">
        <x:v>风险储备</x:v>
      </x:c>
      <x:c r="N4" s="12" t="str">
        <x:v>现金成本合计</x:v>
      </x:c>
      <x:c r="O4" s="12" t="str">
        <x:v>贡献毛利</x:v>
      </x:c>
      <x:c r="P4" s="12" t="str">
        <x:v>贡献毛利率</x:v>
      </x:c>
      <x:c r="Q4" s="12" t="str">
        <x:v>30%目标下最多人工</x:v>
      </x:c>
      <x:c r="R4" s="12" t="str">
        <x:v>内部结论</x:v>
      </x:c>
    </x:row>
    <x:row r="5">
      <x:c r="A5" s="16" t="str">
        <x:v>自助部署</x:v>
      </x:c>
      <x:c r="B5" s="16" t="str">
        <x:v>每环境</x:v>
      </x:c>
      <x:c r="C5" s="23" t="n">
        <x:v>0</x:v>
      </x:c>
      <x:c r="D5" s="24" t="n">
        <x:v>0</x:v>
      </x:c>
      <x:c r="E5" s="24" t="n">
        <x:v>0</x:v>
      </x:c>
      <x:c r="F5" s="23" t="n">
        <x:v>0</x:v>
      </x:c>
      <x:c r="G5" s="25" t="n">
        <x:v>0</x:v>
      </x:c>
      <x:c r="H5" s="25" t="n">
        <x:v>0</x:v>
      </x:c>
      <x:c r="I5" s="25" t="n">
        <x:v>0</x:v>
      </x:c>
      <x:c r="J5" s="26" t="n">
        <x:f>(D5+E5)*'参数'!$B$5</x:f>
        <x:v>0</x:v>
      </x:c>
      <x:c r="K5" s="26" t="n">
        <x:f>IF(C5=0,0,C5*H5/(1+H5))</x:f>
        <x:v>0</x:v>
      </x:c>
      <x:c r="L5" s="26" t="n">
        <x:f>C5*I5</x:f>
        <x:v>0</x:v>
      </x:c>
      <x:c r="M5" s="26" t="n">
        <x:f>C5*G5</x:f>
        <x:v>0</x:v>
      </x:c>
      <x:c r="N5" s="26" t="n">
        <x:f>SUM(F5,J5:M5)</x:f>
        <x:v>0</x:v>
      </x:c>
      <x:c r="O5" s="26" t="n">
        <x:f>C5-N5</x:f>
        <x:v>0</x:v>
      </x:c>
      <x:c r="P5" s="27" t="n">
        <x:f>IF(C5=0,0,O5/C5)</x:f>
        <x:v>0</x:v>
      </x:c>
      <x:c r="Q5" s="28" t="n">
        <x:f>IF(C5=0,0,MAX(0,(C5-K5-L5-F5-M5-C5*'参数'!$B$8)/'参数'!$B$5))</x:f>
        <x:v>0</x:v>
      </x:c>
      <x:c r="R5" s="29" t="str">
        <x:f>"保持¥0；不含人工支持"</x:f>
        <x:v>保持¥0；不含人工支持</x:v>
      </x:c>
    </x:row>
    <x:row r="6">
      <x:c r="A6" s="16" t="str">
        <x:v>标准客户云部署</x:v>
      </x:c>
      <x:c r="B6" s="16" t="str">
        <x:v>每生产环境</x:v>
      </x:c>
      <x:c r="C6" s="23" t="n">
        <x:v>349</x:v>
      </x:c>
      <x:c r="D6" s="24" t="n">
        <x:v>1.5</x:v>
      </x:c>
      <x:c r="E6" s="24" t="n">
        <x:v>0.5</x:v>
      </x:c>
      <x:c r="F6" s="23" t="n">
        <x:v>0</x:v>
      </x:c>
      <x:c r="G6" s="25" t="n">
        <x:v>0.08</x:v>
      </x:c>
      <x:c r="H6" s="25" t="n">
        <x:f>'参数'!$B$6</x:f>
        <x:v>0.06</x:v>
      </x:c>
      <x:c r="I6" s="25" t="n">
        <x:f>'参数'!$B$7</x:f>
        <x:v>0</x:v>
      </x:c>
      <x:c r="J6" s="26" t="n">
        <x:f>(D6+E6)*'参数'!$B$5</x:f>
        <x:v>160</x:v>
      </x:c>
      <x:c r="K6" s="26" t="n">
        <x:f>IF(C6=0,0,C6*H6/(1+H6))</x:f>
        <x:v>19.754716981132074</x:v>
      </x:c>
      <x:c r="L6" s="26" t="n">
        <x:f>C6*I6</x:f>
        <x:v>0</x:v>
      </x:c>
      <x:c r="M6" s="26" t="n">
        <x:f>C6*G6</x:f>
        <x:v>27.92</x:v>
      </x:c>
      <x:c r="N6" s="26" t="n">
        <x:f>SUM(F6,J6:M6)</x:f>
        <x:v>207.67471698113206</x:v>
      </x:c>
      <x:c r="O6" s="26" t="n">
        <x:f>C6-N6</x:f>
        <x:v>141.32528301886794</x:v>
      </x:c>
      <x:c r="P6" s="27" t="n">
        <x:f>IF(C6=0,0,O6/C6)</x:f>
        <x:v>0.4049435043520571</x:v>
      </x:c>
      <x:c r="Q6" s="28" t="n">
        <x:f>IF(C6=0,0,MAX(0,(C6-K6-L6-F6-M6-C6*'参数'!$B$8)/'参数'!$B$5))</x:f>
        <x:v>2.4578160377358493</x:v>
      </x:c>
      <x:c r="R6" s="29" t="str">
        <x:f>IF(P6&gt;='参数'!$B$8,"保留目标价；限2小时","调整价格或额度")</x:f>
        <x:v>保留目标价；限2小时</x:v>
      </x:c>
    </x:row>
    <x:row r="7">
      <x:c r="A7" s="16" t="str">
        <x:v>本地电脑/NAS部署</x:v>
      </x:c>
      <x:c r="B7" s="16" t="str">
        <x:v>每环境起</x:v>
      </x:c>
      <x:c r="C7" s="23" t="n">
        <x:v>649</x:v>
      </x:c>
      <x:c r="D7" s="24" t="n">
        <x:v>3.5</x:v>
      </x:c>
      <x:c r="E7" s="24" t="n">
        <x:v>0.5</x:v>
      </x:c>
      <x:c r="F7" s="23" t="n">
        <x:v>0</x:v>
      </x:c>
      <x:c r="G7" s="25" t="n">
        <x:v>0.1</x:v>
      </x:c>
      <x:c r="H7" s="25" t="n">
        <x:f>'参数'!$B$6</x:f>
        <x:v>0.06</x:v>
      </x:c>
      <x:c r="I7" s="25" t="n">
        <x:f>'参数'!$B$7</x:f>
        <x:v>0</x:v>
      </x:c>
      <x:c r="J7" s="26" t="n">
        <x:f>(D7+E7)*'参数'!$B$5</x:f>
        <x:v>320</x:v>
      </x:c>
      <x:c r="K7" s="26" t="n">
        <x:f>IF(C7=0,0,C7*H7/(1+H7))</x:f>
        <x:v>36.73584905660377</x:v>
      </x:c>
      <x:c r="L7" s="26" t="n">
        <x:f>C7*I7</x:f>
        <x:v>0</x:v>
      </x:c>
      <x:c r="M7" s="26" t="n">
        <x:f>C7*G7</x:f>
        <x:v>64.9</x:v>
      </x:c>
      <x:c r="N7" s="26" t="n">
        <x:f>SUM(F7,J7:M7)</x:f>
        <x:v>421.6358490566038</x:v>
      </x:c>
      <x:c r="O7" s="26" t="n">
        <x:f>C7-N7</x:f>
        <x:v>227.36415094339623</x:v>
      </x:c>
      <x:c r="P7" s="27" t="n">
        <x:f>IF(C7=0,0,O7/C7)</x:f>
        <x:v>0.35032997063697413</x:v>
      </x:c>
      <x:c r="Q7" s="28" t="n">
        <x:f>IF(C7=0,0,MAX(0,(C7-K7-L7-F7-M7-C7*'参数'!$B$8)/'参数'!$B$5))</x:f>
        <x:v>4.408301886792453</x:v>
      </x:c>
      <x:c r="R7" s="29" t="str">
        <x:f>"暂不发布；待M7-06"</x:f>
        <x:v>暂不发布；待M7-06</x:v>
      </x:c>
    </x:row>
    <x:row r="8">
      <x:c r="A8" s="16" t="str">
        <x:v>安心维护</x:v>
      </x:c>
      <x:c r="B8" s="16" t="str">
        <x:v>每年/环境</x:v>
      </x:c>
      <x:c r="C8" s="23" t="n">
        <x:v>349</x:v>
      </x:c>
      <x:c r="D8" s="24" t="n">
        <x:v>0.25</x:v>
      </x:c>
      <x:c r="E8" s="24" t="n">
        <x:v>2</x:v>
      </x:c>
      <x:c r="F8" s="23" t="n">
        <x:v>0</x:v>
      </x:c>
      <x:c r="G8" s="25" t="n">
        <x:v>0.08</x:v>
      </x:c>
      <x:c r="H8" s="25" t="n">
        <x:f>'参数'!$B$6</x:f>
        <x:v>0.06</x:v>
      </x:c>
      <x:c r="I8" s="25" t="n">
        <x:f>'参数'!$B$7</x:f>
        <x:v>0</x:v>
      </x:c>
      <x:c r="J8" s="26" t="n">
        <x:f>(D8+E8)*'参数'!$B$5</x:f>
        <x:v>180</x:v>
      </x:c>
      <x:c r="K8" s="26" t="n">
        <x:f>IF(C8=0,0,C8*H8/(1+H8))</x:f>
        <x:v>19.754716981132074</x:v>
      </x:c>
      <x:c r="L8" s="26" t="n">
        <x:f>C8*I8</x:f>
        <x:v>0</x:v>
      </x:c>
      <x:c r="M8" s="26" t="n">
        <x:f>C8*G8</x:f>
        <x:v>27.92</x:v>
      </x:c>
      <x:c r="N8" s="26" t="n">
        <x:f>SUM(F8,J8:M8)</x:f>
        <x:v>227.67471698113206</x:v>
      </x:c>
      <x:c r="O8" s="26" t="n">
        <x:f>C8-N8</x:f>
        <x:v>121.32528301886794</x:v>
      </x:c>
      <x:c r="P8" s="27" t="n">
        <x:f>IF(C8=0,0,O8/C8)</x:f>
        <x:v>0.34763691409417746</x:v>
      </x:c>
      <x:c r="Q8" s="28" t="n">
        <x:f>IF(C8=0,0,MAX(0,(C8-K8-L8-F8-M8-C8*'参数'!$B$8)/'参数'!$B$5))</x:f>
        <x:v>2.4578160377358493</x:v>
      </x:c>
      <x:c r="R8" s="29" t="str">
        <x:f>IF(P8&gt;='参数'!$B$8,"保留¥349；全年≤120分钟","调整价格或额度")</x:f>
        <x:v>保留¥349；全年≤120分钟</x:v>
      </x:c>
    </x:row>
    <x:row r="9">
      <x:c r="A9" s="16" t="str">
        <x:v>代运维</x:v>
      </x:c>
      <x:c r="B9" s="16" t="str">
        <x:v>每年/环境</x:v>
      </x:c>
      <x:c r="C9" s="23" t="n">
        <x:v>995</x:v>
      </x:c>
      <x:c r="D9" s="24" t="n">
        <x:v>1</x:v>
      </x:c>
      <x:c r="E9" s="24" t="n">
        <x:v>5</x:v>
      </x:c>
      <x:c r="F9" s="23" t="n">
        <x:v>0</x:v>
      </x:c>
      <x:c r="G9" s="25" t="n">
        <x:v>0.08</x:v>
      </x:c>
      <x:c r="H9" s="25" t="n">
        <x:f>'参数'!$B$6</x:f>
        <x:v>0.06</x:v>
      </x:c>
      <x:c r="I9" s="25" t="n">
        <x:f>'参数'!$B$7</x:f>
        <x:v>0</x:v>
      </x:c>
      <x:c r="J9" s="26" t="n">
        <x:f>(D9+E9)*'参数'!$B$5</x:f>
        <x:v>480</x:v>
      </x:c>
      <x:c r="K9" s="26" t="n">
        <x:f>IF(C9=0,0,C9*H9/(1+H9))</x:f>
        <x:v>56.32075471698113</x:v>
      </x:c>
      <x:c r="L9" s="26" t="n">
        <x:f>C9*I9</x:f>
        <x:v>0</x:v>
      </x:c>
      <x:c r="M9" s="26" t="n">
        <x:f>C9*G9</x:f>
        <x:v>79.60000000000001</x:v>
      </x:c>
      <x:c r="N9" s="26" t="n">
        <x:f>SUM(F9,J9:M9)</x:f>
        <x:v>615.9207547169812</x:v>
      </x:c>
      <x:c r="O9" s="26" t="n">
        <x:f>C9-N9</x:f>
        <x:v>379.07924528301885</x:v>
      </x:c>
      <x:c r="P9" s="27" t="n">
        <x:f>IF(C9=0,0,O9/C9)</x:f>
        <x:v>0.38098416611358676</x:v>
      </x:c>
      <x:c r="Q9" s="28" t="n">
        <x:f>IF(C9=0,0,MAX(0,(C9-K9-L9-F9-M9-C9*'参数'!$B$8)/'参数'!$B$5))</x:f>
        <x:v>7.007240566037735</x:v>
      </x:c>
      <x:c r="R9" s="29" t="str">
        <x:f>IF(P9&gt;='参数'!$B$8,"保留目标价；暂不发布","调整价格或额度")</x:f>
        <x:v>保留目标价；暂不发布</x:v>
      </x:c>
    </x:row>
    <x:row r="10">
      <x:c r="A10" s="16" t="str">
        <x:v>标准数据迁移</x:v>
      </x:c>
      <x:c r="B10" s="16" t="str">
        <x:v>每次起</x:v>
      </x:c>
      <x:c r="C10" s="23" t="n">
        <x:v>249</x:v>
      </x:c>
      <x:c r="D10" s="24" t="n">
        <x:v>1.5</x:v>
      </x:c>
      <x:c r="E10" s="24" t="n">
        <x:v>0.25</x:v>
      </x:c>
      <x:c r="F10" s="23" t="n">
        <x:v>0</x:v>
      </x:c>
      <x:c r="G10" s="25" t="n">
        <x:v>0.08</x:v>
      </x:c>
      <x:c r="H10" s="25" t="n">
        <x:f>'参数'!$B$6</x:f>
        <x:v>0.06</x:v>
      </x:c>
      <x:c r="I10" s="25" t="n">
        <x:f>'参数'!$B$7</x:f>
        <x:v>0</x:v>
      </x:c>
      <x:c r="J10" s="26" t="n">
        <x:f>(D10+E10)*'参数'!$B$5</x:f>
        <x:v>140</x:v>
      </x:c>
      <x:c r="K10" s="26" t="n">
        <x:f>IF(C10=0,0,C10*H10/(1+H10))</x:f>
        <x:v>14.094339622641508</x:v>
      </x:c>
      <x:c r="L10" s="26" t="n">
        <x:f>C10*I10</x:f>
        <x:v>0</x:v>
      </x:c>
      <x:c r="M10" s="26" t="n">
        <x:f>C10*G10</x:f>
        <x:v>19.92</x:v>
      </x:c>
      <x:c r="N10" s="26" t="n">
        <x:f>SUM(F10,J10:M10)</x:f>
        <x:v>174.0143396226415</x:v>
      </x:c>
      <x:c r="O10" s="26" t="n">
        <x:f>C10-N10</x:f>
        <x:v>74.9856603773585</x:v>
      </x:c>
      <x:c r="P10" s="27" t="n">
        <x:f>IF(C10=0,0,O10/C10)</x:f>
        <x:v>0.30114723043115865</x:v>
      </x:c>
      <x:c r="Q10" s="28" t="n">
        <x:f>IF(C10=0,0,MAX(0,(C10-K10-L10-F10-M10-C10*'参数'!$B$8)/'参数'!$B$5))</x:f>
        <x:v>1.7535707547169814</x:v>
      </x:c>
      <x:c r="R10" s="29" t="str">
        <x:f>IF(P10&gt;='参数'!$B$8,"保留¥249；限模板和1.75小时","调整价格或额度")</x:f>
        <x:v>保留¥249；限模板和1.75小时</x:v>
      </x:c>
    </x:row>
    <x:row r="11">
      <x:c r="A11" s="16" t="str">
        <x:v>非标准/定制/接口</x:v>
      </x:c>
      <x:c r="B11" s="16" t="str">
        <x:v>每小时</x:v>
      </x:c>
      <x:c r="C11" s="23" t="n">
        <x:v>150</x:v>
      </x:c>
      <x:c r="D11" s="24" t="n">
        <x:v>0.75</x:v>
      </x:c>
      <x:c r="E11" s="24" t="n">
        <x:v>0.25</x:v>
      </x:c>
      <x:c r="F11" s="23" t="n">
        <x:v>0</x:v>
      </x:c>
      <x:c r="G11" s="25" t="n">
        <x:v>0.08</x:v>
      </x:c>
      <x:c r="H11" s="25" t="n">
        <x:f>'参数'!$B$6</x:f>
        <x:v>0.06</x:v>
      </x:c>
      <x:c r="I11" s="25" t="n">
        <x:f>'参数'!$B$7</x:f>
        <x:v>0</x:v>
      </x:c>
      <x:c r="J11" s="26" t="n">
        <x:f>(D11+E11)*'参数'!$B$5</x:f>
        <x:v>80</x:v>
      </x:c>
      <x:c r="K11" s="26" t="n">
        <x:f>IF(C11=0,0,C11*H11/(1+H11))</x:f>
        <x:v>8.49056603773585</x:v>
      </x:c>
      <x:c r="L11" s="26" t="n">
        <x:f>C11*I11</x:f>
        <x:v>0</x:v>
      </x:c>
      <x:c r="M11" s="26" t="n">
        <x:f>C11*G11</x:f>
        <x:v>12</x:v>
      </x:c>
      <x:c r="N11" s="26" t="n">
        <x:f>SUM(F11,J11:M11)</x:f>
        <x:v>100.49056603773585</x:v>
      </x:c>
      <x:c r="O11" s="26" t="n">
        <x:f>C11-N11</x:f>
        <x:v>49.509433962264154</x:v>
      </x:c>
      <x:c r="P11" s="27" t="n">
        <x:f>IF(C11=0,0,O11/C11)</x:f>
        <x:v>0.330062893081761</x:v>
      </x:c>
      <x:c r="Q11" s="28" t="n">
        <x:f>IF(C11=0,0,MAX(0,(C11-K11-L11-F11-M11-C11*'参数'!$B$8)/'参数'!$B$5))</x:f>
        <x:v>1.056367924528302</x:v>
      </x:c>
      <x:c r="R11" s="29" t="str">
        <x:f>IF(P11&gt;='参数'!$B$8,"保留¥150/小时","调整价格")</x:f>
        <x:v>保留¥150/小时</x:v>
      </x:c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</x:row>
    <x:row r="14" ht="30" customHeight="1">
      <x:c r="A14" s="12" t="str">
        <x:v>服务</x:v>
      </x:c>
      <x:c r="B14" s="12" t="str">
        <x:v>标准范围</x:v>
      </x:c>
      <x:c r="C14" s="12" t="str">
        <x:v>客户前提/责任</x:v>
      </x:c>
      <x:c r="D14" s="12" t="str">
        <x:v>超范围处理</x:v>
      </x:c>
      <x:c r="E14" s="12" t="str">
        <x:v>发布状态</x:v>
      </x:c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</x:row>
    <x:row r="15">
      <x:c r="A15" s="16" t="str">
        <x:v>自助部署</x:v>
      </x:c>
      <x:c r="B15" s="16" t="str">
        <x:v>软件和文档¥0；无人工实施</x:v>
      </x:c>
      <x:c r="C15" s="16" t="str">
        <x:v>自行准备兼容环境、DNS、备份和维护</x:v>
      </x:c>
      <x:c r="D15" s="16" t="str">
        <x:v>可购买标准服务</x:v>
      </x:c>
      <x:c r="E15" s="16" t="str">
        <x:v>内部目标；零支持第二样本前不宣传</x:v>
      </x:c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</x:row>
    <x:row r="16">
      <x:c r="A16" s="16" t="str">
        <x:v>标准客户云部署</x:v>
      </x:c>
      <x:c r="B16" s="16" t="str">
        <x:v>一台Ubuntu 24.04 x86_64；安装、HTTPS、管理员、备份目标、一次旁路恢复和交接；主动人工≤2小时</x:v>
      </x:c>
      <x:c r="C16" s="16" t="str">
        <x:v>云账号、域名DNS、80/443和异机备份位置已就绪</x:v>
      </x:c>
      <x:c r="D16" s="16" t="str">
        <x:v>客户等待、非标准网络、历史清洗另计</x:v>
      </x:c>
      <x:c r="E16" s="16" t="str">
        <x:v>保留¥349目标价</x:v>
      </x:c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</x:row>
    <x:row r="17">
      <x:c r="A17" s="16" t="str">
        <x:v>本地电脑/NAS部署</x:v>
      </x:c>
      <x:c r="B17" s="16" t="str">
        <x:v>Certified清单内单机/虚拟机、局域网、备份和一次恢复</x:v>
      </x:c>
      <x:c r="C17" s="16" t="str">
        <x:v>硬件、路由、固定地址、外设和UPS由客户提供</x:v>
      </x:c>
      <x:c r="D17" s="16" t="str">
        <x:v>外设、驱动和非标准网络另计</x:v>
      </x:c>
      <x:c r="E17" s="16" t="str">
        <x:v>暂不发布，等待M7-06</x:v>
      </x:c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</x:row>
    <x:row r="18">
      <x:c r="A18" s="16" t="str">
        <x:v>安心维护</x:v>
      </x:c>
      <x:c r="B18" s="16" t="str">
        <x:v>年度4次联系；全年主动人工合计≤120分钟；2个工作日响应</x:v>
      </x:c>
      <x:c r="C18" s="16" t="str">
        <x:v>有效远程授权、可用备份和服务器账号</x:v>
      </x:c>
      <x:c r="D18" s="16" t="str">
        <x:v>超时按¥150/小时书面确认</x:v>
      </x:c>
      <x:c r="E18" s="16" t="str">
        <x:v>保留¥349；额度由4小时调整为2小时</x:v>
      </x:c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</x:row>
    <x:row r="19">
      <x:c r="A19" s="16" t="str">
        <x:v>代运维</x:v>
      </x:c>
      <x:c r="B19" s="16" t="str">
        <x:v>监控、月检、告警确认；年度主动人工≤6小时</x:v>
      </x:c>
      <x:c r="C19" s="16" t="str">
        <x:v>配置异机通知和异机备份目标</x:v>
      </x:c>
      <x:c r="D19" s="16" t="str">
        <x:v>实际恢复、第三方协调和7×24另计</x:v>
      </x:c>
      <x:c r="E19" s="16" t="str">
        <x:v>保留¥995目标价，暂不发布</x:v>
      </x:c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</x:row>
    <x:row r="20">
      <x:c r="A20" s="16" t="str">
        <x:v>标准数据迁移</x:v>
      </x:c>
      <x:c r="B20" s="16" t="str">
        <x:v>一种受支持模板、≤1,000条主数据/期初数据；一次样本+一次正式导入；≤1.75小时</x:v>
      </x:c>
      <x:c r="C20" s="16" t="str">
        <x:v>按时确认样本和数据口径</x:v>
      </x:c>
      <x:c r="D20" s="16" t="str">
        <x:v>历史单据、会计口径和复杂清洗另计</x:v>
      </x:c>
      <x:c r="E20" s="16" t="str">
        <x:v>保留¥249起</x:v>
      </x:c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</x:row>
    <x:row r="21">
      <x:c r="A21" s="16" t="str">
        <x:v>非标准/定制/接口</x:v>
      </x:c>
      <x:c r="B21" s="16" t="str">
        <x:v>先书面范围和验收；最低1小时，之后0.5小时递增</x:v>
      </x:c>
      <x:c r="C21" s="16" t="str">
        <x:v>提供接口资料、测试账号和验收人</x:v>
      </x:c>
      <x:c r="D21" s="16" t="str">
        <x:v>第三方费用客户直付或单列</x:v>
      </x:c>
      <x:c r="E21" s="16" t="str">
        <x:v>保留¥150/小时</x:v>
      </x:c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</x:row>
    <x:row r="22">
      <x:c r="A22" s="16" t="str">
        <x:v>统一退款/重做</x:v>
      </x:c>
      <x:c r="B22" s="16" t="str">
        <x:v>未开始可退未发生人工和第三方成本；已开始优先按书面范围重做</x:v>
      </x:c>
      <x:c r="C22" s="16" t="str">
        <x:v>客户延迟和前提不满足不计入标准工时</x:v>
      </x:c>
      <x:c r="D22" s="16" t="str">
        <x:v>安全事件按单独应急记录处理</x:v>
      </x:c>
      <x:c r="E22" s="16" t="str">
        <x:v>正式条款仍须会计/律师复核</x:v>
      </x:c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</x:row>
  </x:sheetData>
  <x:mergeCells>
    <x:mergeCell ref="A1:R1"/>
    <x:mergeCell ref="A2:R2"/>
  </x:mergeCells>
  <x:conditionalFormatting sqref="R5:R11">
    <x:cfRule type="expression" dxfId="0" priority="1">
      <x:formula>ISNUMBER(SEARCH("暂不发布",R5))</x:formula>
    </x:cfRule>
    <x:cfRule type="expression" dxfId="1" priority="2">
      <x:formula>ISNUMBER(SEARCH("保留",R5))</x:formula>
    </x:cfRule>
  </x:conditionalFormatting>
  <x:pageMargins left="0.7" right="0.7" top="0.75" bottom="0.75" header="0.3" footer="0.3"/>
  <x:legacyDrawing xmlns:r="http://schemas.openxmlformats.org/officeDocument/2006/relationships" r:id="R65dfc222afe240e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税费、支付费与工时敏感性</x:v>
      </x:c>
      <x:c r="B1" s="3" t="str">
        <x:v>税费、支付费与工时敏感性</x:v>
      </x:c>
      <x:c r="C1" s="3" t="str">
        <x:v>税费、支付费与工时敏感性</x:v>
      </x:c>
      <x:c r="D1" s="3" t="str">
        <x:v>税费、支付费与工时敏感性</x:v>
      </x:c>
      <x:c r="E1" s="3" t="str">
        <x:v>税费、支付费与工时敏感性</x:v>
      </x:c>
      <x:c r="F1" s="3" t="str">
        <x:v>税费、支付费与工时敏感性</x:v>
      </x:c>
      <x:c r="G1" s="3" t="str">
        <x:v>税费、支付费与工时敏感性</x:v>
      </x:c>
      <x:c r="H1" s="3" t="str">
        <x:v>税费、支付费与工时敏感性</x:v>
      </x:c>
    </x:row>
    <x:row r="2" ht="28" customHeight="1">
      <x:c r="A2" s="7" t="str">
        <x:v>用同一价格比较免税/1%/6%和0/0.6%支付费；正式开票税目、纳税人身份与企业所得税仍需会计复核。</x:v>
      </x:c>
      <x:c r="B2" s="7" t="str">
        <x:v>用同一价格比较免税/1%/6%和0/0.6%支付费；正式开票税目、纳税人身份与企业所得税仍需会计复核。</x:v>
      </x:c>
      <x:c r="C2" s="7" t="str">
        <x:v>用同一价格比较免税/1%/6%和0/0.6%支付费；正式开票税目、纳税人身份与企业所得税仍需会计复核。</x:v>
      </x:c>
      <x:c r="D2" s="7" t="str">
        <x:v>用同一价格比较免税/1%/6%和0/0.6%支付费；正式开票税目、纳税人身份与企业所得税仍需会计复核。</x:v>
      </x:c>
      <x:c r="E2" s="7" t="str">
        <x:v>用同一价格比较免税/1%/6%和0/0.6%支付费；正式开票税目、纳税人身份与企业所得税仍需会计复核。</x:v>
      </x:c>
      <x:c r="F2" s="7" t="str">
        <x:v>用同一价格比较免税/1%/6%和0/0.6%支付费；正式开票税目、纳税人身份与企业所得税仍需会计复核。</x:v>
      </x:c>
      <x:c r="G2" s="7" t="str">
        <x:v>用同一价格比较免税/1%/6%和0/0.6%支付费；正式开票税目、纳税人身份与企业所得税仍需会计复核。</x:v>
      </x:c>
      <x:c r="H2" s="7" t="str">
        <x:v>用同一价格比较免税/1%/6%和0/0.6%支付费；正式开票税目、纳税人身份与企业所得税仍需会计复核。</x:v>
      </x:c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12" t="str">
        <x:v>服务</x:v>
      </x:c>
      <x:c r="B4" s="12" t="str">
        <x:v>税费情景</x:v>
      </x:c>
      <x:c r="C4" s="12" t="str">
        <x:v>增值税率</x:v>
      </x:c>
      <x:c r="D4" s="12" t="str">
        <x:v>支付费率</x:v>
      </x:c>
      <x:c r="E4" s="12" t="str">
        <x:v>含税价</x:v>
      </x:c>
      <x:c r="F4" s="12" t="str">
        <x:v>贡献毛利</x:v>
      </x:c>
      <x:c r="G4" s="12" t="str">
        <x:v>贡献毛利率</x:v>
      </x:c>
      <x:c r="H4" s="12" t="str">
        <x:v>30%目标最多人工</x:v>
      </x:c>
    </x:row>
    <x:row r="5">
      <x:c r="A5" s="16" t="str">
        <x:f>'服务成本'!A6</x:f>
        <x:v>标准客户云部署</x:v>
      </x:c>
      <x:c r="B5" s="16" t="str">
        <x:v>符合条件免税</x:v>
      </x:c>
      <x:c r="C5" s="22" t="n">
        <x:v>0</x:v>
      </x:c>
      <x:c r="D5" s="22" t="n">
        <x:v>0</x:v>
      </x:c>
      <x:c r="E5" s="20" t="n">
        <x:f>'服务成本'!C6</x:f>
        <x:v>349</x:v>
      </x:c>
      <x:c r="F5" s="20" t="n">
        <x:f>E5-(E5*C5/(1+C5))-(E5*D5)-'服务成本'!F6-(('服务成本'!D6+'服务成本'!E6)*'参数'!$B$5)-(E5*'服务成本'!G6)</x:f>
        <x:v>161.07999999999998</x:v>
      </x:c>
      <x:c r="G5" s="22" t="n">
        <x:f>IF(E5=0,0,F5/E5)</x:f>
        <x:v>0.4615472779369627</x:v>
      </x:c>
      <x:c r="H5" s="21" t="n">
        <x:f>MAX(0,(E5-(E5*C5/(1+C5))-(E5*D5)-'服务成本'!F6-(E5*'服务成本'!G6)-(E5*'参数'!$B$8))/'参数'!$B$5)</x:f>
        <x:v>2.7047499999999998</x:v>
      </x:c>
    </x:row>
    <x:row r="6">
      <x:c r="A6" s="16" t="str">
        <x:f>'服务成本'!A6</x:f>
        <x:v>标准客户云部署</x:v>
      </x:c>
      <x:c r="B6" s="16" t="str">
        <x:v>小规模1%/转账</x:v>
      </x:c>
      <x:c r="C6" s="22" t="n">
        <x:v>0.01</x:v>
      </x:c>
      <x:c r="D6" s="22" t="n">
        <x:v>0</x:v>
      </x:c>
      <x:c r="E6" s="20" t="n">
        <x:f>'服务成本'!C6</x:f>
        <x:v>349</x:v>
      </x:c>
      <x:c r="F6" s="20" t="n">
        <x:f>E6-(E6*C6/(1+C6))-(E6*D6)-'服务成本'!F6-(('服务成本'!D6+'服务成本'!E6)*'参数'!$B$5)-(E6*'服务成本'!G6)</x:f>
        <x:v>157.62455445544555</x:v>
      </x:c>
      <x:c r="G6" s="22" t="n">
        <x:f>IF(E6=0,0,F6/E6)</x:f>
        <x:v>0.45164628783795285</x:v>
      </x:c>
      <x:c r="H6" s="21" t="n">
        <x:f>MAX(0,(E6-(E6*C6/(1+C6))-(E6*D6)-'服务成本'!F6-(E6*'服务成本'!G6)-(E6*'参数'!$B$8))/'参数'!$B$5)</x:f>
        <x:v>2.6615569306930693</x:v>
      </x:c>
    </x:row>
    <x:row r="7">
      <x:c r="A7" s="16" t="str">
        <x:f>'服务成本'!A6</x:f>
        <x:v>标准客户云部署</x:v>
      </x:c>
      <x:c r="B7" s="16" t="str">
        <x:v>一般纳税人6%/转账</x:v>
      </x:c>
      <x:c r="C7" s="22" t="n">
        <x:v>0.06</x:v>
      </x:c>
      <x:c r="D7" s="22" t="n">
        <x:v>0</x:v>
      </x:c>
      <x:c r="E7" s="20" t="n">
        <x:f>'服务成本'!C6</x:f>
        <x:v>349</x:v>
      </x:c>
      <x:c r="F7" s="20" t="n">
        <x:f>E7-(E7*C7/(1+C7))-(E7*D7)-'服务成本'!F6-(('服务成本'!D6+'服务成本'!E6)*'参数'!$B$5)-(E7*'服务成本'!G6)</x:f>
        <x:v>141.32528301886794</x:v>
      </x:c>
      <x:c r="G7" s="22" t="n">
        <x:f>IF(E7=0,0,F7/E7)</x:f>
        <x:v>0.4049435043520571</x:v>
      </x:c>
      <x:c r="H7" s="21" t="n">
        <x:f>MAX(0,(E7-(E7*C7/(1+C7))-(E7*D7)-'服务成本'!F6-(E7*'服务成本'!G6)-(E7*'参数'!$B$8))/'参数'!$B$5)</x:f>
        <x:v>2.4578160377358493</x:v>
      </x:c>
    </x:row>
    <x:row r="8">
      <x:c r="A8" s="16" t="str">
        <x:f>'服务成本'!A6</x:f>
        <x:v>标准客户云部署</x:v>
      </x:c>
      <x:c r="B8" s="16" t="str">
        <x:v>一般纳税人6%/第三方支付</x:v>
      </x:c>
      <x:c r="C8" s="22" t="n">
        <x:v>0.06</x:v>
      </x:c>
      <x:c r="D8" s="22" t="n">
        <x:v>0.006</x:v>
      </x:c>
      <x:c r="E8" s="20" t="n">
        <x:f>'服务成本'!C6</x:f>
        <x:v>349</x:v>
      </x:c>
      <x:c r="F8" s="20" t="n">
        <x:f>E8-(E8*C8/(1+C8))-(E8*D8)-'服务成本'!F6-(('服务成本'!D6+'服务成本'!E6)*'参数'!$B$5)-(E8*'服务成本'!G6)</x:f>
        <x:v>139.23128301886794</x:v>
      </x:c>
      <x:c r="G8" s="22" t="n">
        <x:f>IF(E8=0,0,F8/E8)</x:f>
        <x:v>0.39894350435205717</x:v>
      </x:c>
      <x:c r="H8" s="21" t="n">
        <x:f>MAX(0,(E8-(E8*C8/(1+C8))-(E8*D8)-'服务成本'!F6-(E8*'服务成本'!G6)-(E8*'参数'!$B$8))/'参数'!$B$5)</x:f>
        <x:v>2.4316410377358495</x:v>
      </x:c>
    </x:row>
    <x:row r="9">
      <x:c r="A9" s="16" t="str">
        <x:f>'服务成本'!A7</x:f>
        <x:v>本地电脑/NAS部署</x:v>
      </x:c>
      <x:c r="B9" s="16" t="str">
        <x:v>符合条件免税</x:v>
      </x:c>
      <x:c r="C9" s="22" t="n">
        <x:v>0</x:v>
      </x:c>
      <x:c r="D9" s="22" t="n">
        <x:v>0</x:v>
      </x:c>
      <x:c r="E9" s="20" t="n">
        <x:f>'服务成本'!C7</x:f>
        <x:v>649</x:v>
      </x:c>
      <x:c r="F9" s="20" t="n">
        <x:f>E9-(E9*C9/(1+C9))-(E9*D9)-'服务成本'!F7-(('服务成本'!D7+'服务成本'!E7)*'参数'!$B$5)-(E9*'服务成本'!G7)</x:f>
        <x:v>264.1</x:v>
      </x:c>
      <x:c r="G9" s="22" t="n">
        <x:f>IF(E9=0,0,F9/E9)</x:f>
        <x:v>0.40693374422187983</x:v>
      </x:c>
      <x:c r="H9" s="21" t="n">
        <x:f>MAX(0,(E9-(E9*C9/(1+C9))-(E9*D9)-'服务成本'!F7-(E9*'服务成本'!G7)-(E9*'参数'!$B$8))/'参数'!$B$5)</x:f>
        <x:v>4.867500000000001</x:v>
      </x:c>
    </x:row>
    <x:row r="10">
      <x:c r="A10" s="16" t="str">
        <x:f>'服务成本'!A7</x:f>
        <x:v>本地电脑/NAS部署</x:v>
      </x:c>
      <x:c r="B10" s="16" t="str">
        <x:v>小规模1%/转账</x:v>
      </x:c>
      <x:c r="C10" s="22" t="n">
        <x:v>0.01</x:v>
      </x:c>
      <x:c r="D10" s="22" t="n">
        <x:v>0</x:v>
      </x:c>
      <x:c r="E10" s="20" t="n">
        <x:f>'服务成本'!C7</x:f>
        <x:v>649</x:v>
      </x:c>
      <x:c r="F10" s="20" t="n">
        <x:f>E10-(E10*C10/(1+C10))-(E10*D10)-'服务成本'!F7-(('服务成本'!D7+'服务成本'!E7)*'参数'!$B$5)-(E10*'服务成本'!G7)</x:f>
        <x:v>257.67425742574255</x:v>
      </x:c>
      <x:c r="G10" s="22" t="n">
        <x:f>IF(E10=0,0,F10/E10)</x:f>
        <x:v>0.39703275412286987</x:v>
      </x:c>
      <x:c r="H10" s="21" t="n">
        <x:f>MAX(0,(E10-(E10*C10/(1+C10))-(E10*D10)-'服务成本'!F7-(E10*'服务成本'!G7)-(E10*'参数'!$B$8))/'参数'!$B$5)</x:f>
        <x:v>4.787178217821782</x:v>
      </x:c>
    </x:row>
    <x:row r="11">
      <x:c r="A11" s="16" t="str">
        <x:f>'服务成本'!A7</x:f>
        <x:v>本地电脑/NAS部署</x:v>
      </x:c>
      <x:c r="B11" s="16" t="str">
        <x:v>一般纳税人6%/转账</x:v>
      </x:c>
      <x:c r="C11" s="22" t="n">
        <x:v>0.06</x:v>
      </x:c>
      <x:c r="D11" s="22" t="n">
        <x:v>0</x:v>
      </x:c>
      <x:c r="E11" s="20" t="n">
        <x:f>'服务成本'!C7</x:f>
        <x:v>649</x:v>
      </x:c>
      <x:c r="F11" s="20" t="n">
        <x:f>E11-(E11*C11/(1+C11))-(E11*D11)-'服务成本'!F7-(('服务成本'!D7+'服务成本'!E7)*'参数'!$B$5)-(E11*'服务成本'!G7)</x:f>
        <x:v>227.3641509433962</x:v>
      </x:c>
      <x:c r="G11" s="22" t="n">
        <x:f>IF(E11=0,0,F11/E11)</x:f>
        <x:v>0.35032997063697413</x:v>
      </x:c>
      <x:c r="H11" s="21" t="n">
        <x:f>MAX(0,(E11-(E11*C11/(1+C11))-(E11*D11)-'服务成本'!F7-(E11*'服务成本'!G7)-(E11*'参数'!$B$8))/'参数'!$B$5)</x:f>
        <x:v>4.408301886792453</x:v>
      </x:c>
    </x:row>
    <x:row r="12">
      <x:c r="A12" s="16" t="str">
        <x:f>'服务成本'!A7</x:f>
        <x:v>本地电脑/NAS部署</x:v>
      </x:c>
      <x:c r="B12" s="16" t="str">
        <x:v>一般纳税人6%/第三方支付</x:v>
      </x:c>
      <x:c r="C12" s="22" t="n">
        <x:v>0.06</x:v>
      </x:c>
      <x:c r="D12" s="22" t="n">
        <x:v>0.006</x:v>
      </x:c>
      <x:c r="E12" s="20" t="n">
        <x:f>'服务成本'!C7</x:f>
        <x:v>649</x:v>
      </x:c>
      <x:c r="F12" s="20" t="n">
        <x:f>E12-(E12*C12/(1+C12))-(E12*D12)-'服务成本'!F7-(('服务成本'!D7+'服务成本'!E7)*'参数'!$B$5)-(E12*'服务成本'!G7)</x:f>
        <x:v>223.4701509433962</x:v>
      </x:c>
      <x:c r="G12" s="22" t="n">
        <x:f>IF(E12=0,0,F12/E12)</x:f>
        <x:v>0.3443299706369741</x:v>
      </x:c>
      <x:c r="H12" s="21" t="n">
        <x:f>MAX(0,(E12-(E12*C12/(1+C12))-(E12*D12)-'服务成本'!F7-(E12*'服务成本'!G7)-(E12*'参数'!$B$8))/'参数'!$B$5)</x:f>
        <x:v>4.359626886792453</x:v>
      </x:c>
    </x:row>
    <x:row r="13">
      <x:c r="A13" s="16" t="str">
        <x:f>'服务成本'!A8</x:f>
        <x:v>安心维护</x:v>
      </x:c>
      <x:c r="B13" s="16" t="str">
        <x:v>符合条件免税</x:v>
      </x:c>
      <x:c r="C13" s="22" t="n">
        <x:v>0</x:v>
      </x:c>
      <x:c r="D13" s="22" t="n">
        <x:v>0</x:v>
      </x:c>
      <x:c r="E13" s="20" t="n">
        <x:f>'服务成本'!C8</x:f>
        <x:v>349</x:v>
      </x:c>
      <x:c r="F13" s="20" t="n">
        <x:f>E13-(E13*C13/(1+C13))-(E13*D13)-'服务成本'!F8-(('服务成本'!D8+'服务成本'!E8)*'参数'!$B$5)-(E13*'服务成本'!G8)</x:f>
        <x:v>141.07999999999998</x:v>
      </x:c>
      <x:c r="G13" s="22" t="n">
        <x:f>IF(E13=0,0,F13/E13)</x:f>
        <x:v>0.40424068767908305</x:v>
      </x:c>
      <x:c r="H13" s="21" t="n">
        <x:f>MAX(0,(E13-(E13*C13/(1+C13))-(E13*D13)-'服务成本'!F8-(E13*'服务成本'!G8)-(E13*'参数'!$B$8))/'参数'!$B$5)</x:f>
        <x:v>2.7047499999999998</x:v>
      </x:c>
    </x:row>
    <x:row r="14">
      <x:c r="A14" s="16" t="str">
        <x:f>'服务成本'!A8</x:f>
        <x:v>安心维护</x:v>
      </x:c>
      <x:c r="B14" s="16" t="str">
        <x:v>小规模1%/转账</x:v>
      </x:c>
      <x:c r="C14" s="22" t="n">
        <x:v>0.01</x:v>
      </x:c>
      <x:c r="D14" s="22" t="n">
        <x:v>0</x:v>
      </x:c>
      <x:c r="E14" s="20" t="n">
        <x:f>'服务成本'!C8</x:f>
        <x:v>349</x:v>
      </x:c>
      <x:c r="F14" s="20" t="n">
        <x:f>E14-(E14*C14/(1+C14))-(E14*D14)-'服务成本'!F8-(('服务成本'!D8+'服务成本'!E8)*'参数'!$B$5)-(E14*'服务成本'!G8)</x:f>
        <x:v>137.62455445544555</x:v>
      </x:c>
      <x:c r="G14" s="22" t="n">
        <x:f>IF(E14=0,0,F14/E14)</x:f>
        <x:v>0.3943396975800732</x:v>
      </x:c>
      <x:c r="H14" s="21" t="n">
        <x:f>MAX(0,(E14-(E14*C14/(1+C14))-(E14*D14)-'服务成本'!F8-(E14*'服务成本'!G8)-(E14*'参数'!$B$8))/'参数'!$B$5)</x:f>
        <x:v>2.6615569306930693</x:v>
      </x:c>
    </x:row>
    <x:row r="15">
      <x:c r="A15" s="16" t="str">
        <x:f>'服务成本'!A8</x:f>
        <x:v>安心维护</x:v>
      </x:c>
      <x:c r="B15" s="16" t="str">
        <x:v>一般纳税人6%/转账</x:v>
      </x:c>
      <x:c r="C15" s="22" t="n">
        <x:v>0.06</x:v>
      </x:c>
      <x:c r="D15" s="22" t="n">
        <x:v>0</x:v>
      </x:c>
      <x:c r="E15" s="20" t="n">
        <x:f>'服务成本'!C8</x:f>
        <x:v>349</x:v>
      </x:c>
      <x:c r="F15" s="20" t="n">
        <x:f>E15-(E15*C15/(1+C15))-(E15*D15)-'服务成本'!F8-(('服务成本'!D8+'服务成本'!E8)*'参数'!$B$5)-(E15*'服务成本'!G8)</x:f>
        <x:v>121.32528301886795</x:v>
      </x:c>
      <x:c r="G15" s="22" t="n">
        <x:f>IF(E15=0,0,F15/E15)</x:f>
        <x:v>0.3476369140941775</x:v>
      </x:c>
      <x:c r="H15" s="21" t="n">
        <x:f>MAX(0,(E15-(E15*C15/(1+C15))-(E15*D15)-'服务成本'!F8-(E15*'服务成本'!G8)-(E15*'参数'!$B$8))/'参数'!$B$5)</x:f>
        <x:v>2.4578160377358493</x:v>
      </x:c>
    </x:row>
    <x:row r="16">
      <x:c r="A16" s="16" t="str">
        <x:f>'服务成本'!A8</x:f>
        <x:v>安心维护</x:v>
      </x:c>
      <x:c r="B16" s="16" t="str">
        <x:v>一般纳税人6%/第三方支付</x:v>
      </x:c>
      <x:c r="C16" s="22" t="n">
        <x:v>0.06</x:v>
      </x:c>
      <x:c r="D16" s="22" t="n">
        <x:v>0.006</x:v>
      </x:c>
      <x:c r="E16" s="20" t="n">
        <x:f>'服务成本'!C8</x:f>
        <x:v>349</x:v>
      </x:c>
      <x:c r="F16" s="20" t="n">
        <x:f>E16-(E16*C16/(1+C16))-(E16*D16)-'服务成本'!F8-(('服务成本'!D8+'服务成本'!E8)*'参数'!$B$5)-(E16*'服务成本'!G8)</x:f>
        <x:v>119.23128301886796</x:v>
      </x:c>
      <x:c r="G16" s="22" t="n">
        <x:f>IF(E16=0,0,F16/E16)</x:f>
        <x:v>0.3416369140941775</x:v>
      </x:c>
      <x:c r="H16" s="21" t="n">
        <x:f>MAX(0,(E16-(E16*C16/(1+C16))-(E16*D16)-'服务成本'!F8-(E16*'服务成本'!G8)-(E16*'参数'!$B$8))/'参数'!$B$5)</x:f>
        <x:v>2.4316410377358495</x:v>
      </x:c>
    </x:row>
    <x:row r="17">
      <x:c r="A17" s="16" t="str">
        <x:f>'服务成本'!A9</x:f>
        <x:v>代运维</x:v>
      </x:c>
      <x:c r="B17" s="16" t="str">
        <x:v>符合条件免税</x:v>
      </x:c>
      <x:c r="C17" s="22" t="n">
        <x:v>0</x:v>
      </x:c>
      <x:c r="D17" s="22" t="n">
        <x:v>0</x:v>
      </x:c>
      <x:c r="E17" s="20" t="n">
        <x:f>'服务成本'!C9</x:f>
        <x:v>995</x:v>
      </x:c>
      <x:c r="F17" s="20" t="n">
        <x:f>E17-(E17*C17/(1+C17))-(E17*D17)-'服务成本'!F9-(('服务成本'!D9+'服务成本'!E9)*'参数'!$B$5)-(E17*'服务成本'!G9)</x:f>
        <x:v>435.4</x:v>
      </x:c>
      <x:c r="G17" s="22" t="n">
        <x:f>IF(E17=0,0,F17/E17)</x:f>
        <x:v>0.4375879396984924</x:v>
      </x:c>
      <x:c r="H17" s="21" t="n">
        <x:f>MAX(0,(E17-(E17*C17/(1+C17))-(E17*D17)-'服务成本'!F9-(E17*'服务成本'!G9)-(E17*'参数'!$B$8))/'参数'!$B$5)</x:f>
        <x:v>7.71125</x:v>
      </x:c>
    </x:row>
    <x:row r="18">
      <x:c r="A18" s="16" t="str">
        <x:f>'服务成本'!A9</x:f>
        <x:v>代运维</x:v>
      </x:c>
      <x:c r="B18" s="16" t="str">
        <x:v>小规模1%/转账</x:v>
      </x:c>
      <x:c r="C18" s="22" t="n">
        <x:v>0.01</x:v>
      </x:c>
      <x:c r="D18" s="22" t="n">
        <x:v>0</x:v>
      </x:c>
      <x:c r="E18" s="20" t="n">
        <x:f>'服务成本'!C9</x:f>
        <x:v>995</x:v>
      </x:c>
      <x:c r="F18" s="20" t="n">
        <x:f>E18-(E18*C18/(1+C18))-(E18*D18)-'服务成本'!F9-(('服务成本'!D9+'服务成本'!E9)*'参数'!$B$5)-(E18*'服务成本'!G9)</x:f>
        <x:v>425.54851485148515</x:v>
      </x:c>
      <x:c r="G18" s="22" t="n">
        <x:f>IF(E18=0,0,F18/E18)</x:f>
        <x:v>0.42768694959948256</x:v>
      </x:c>
      <x:c r="H18" s="21" t="n">
        <x:f>MAX(0,(E18-(E18*C18/(1+C18))-(E18*D18)-'服务成本'!F9-(E18*'服务成本'!G9)-(E18*'参数'!$B$8))/'参数'!$B$5)</x:f>
        <x:v>7.588106435643565</x:v>
      </x:c>
    </x:row>
    <x:row r="19">
      <x:c r="A19" s="16" t="str">
        <x:f>'服务成本'!A9</x:f>
        <x:v>代运维</x:v>
      </x:c>
      <x:c r="B19" s="16" t="str">
        <x:v>一般纳税人6%/转账</x:v>
      </x:c>
      <x:c r="C19" s="22" t="n">
        <x:v>0.06</x:v>
      </x:c>
      <x:c r="D19" s="22" t="n">
        <x:v>0</x:v>
      </x:c>
      <x:c r="E19" s="20" t="n">
        <x:f>'服务成本'!C9</x:f>
        <x:v>995</x:v>
      </x:c>
      <x:c r="F19" s="20" t="n">
        <x:f>E19-(E19*C19/(1+C19))-(E19*D19)-'服务成本'!F9-(('服务成本'!D9+'服务成本'!E9)*'参数'!$B$5)-(E19*'服务成本'!G9)</x:f>
        <x:v>379.07924528301885</x:v>
      </x:c>
      <x:c r="G19" s="22" t="n">
        <x:f>IF(E19=0,0,F19/E19)</x:f>
        <x:v>0.38098416611358676</x:v>
      </x:c>
      <x:c r="H19" s="21" t="n">
        <x:f>MAX(0,(E19-(E19*C19/(1+C19))-(E19*D19)-'服务成本'!F9-(E19*'服务成本'!G9)-(E19*'参数'!$B$8))/'参数'!$B$5)</x:f>
        <x:v>7.007240566037735</x:v>
      </x:c>
    </x:row>
    <x:row r="20">
      <x:c r="A20" s="16" t="str">
        <x:f>'服务成本'!A9</x:f>
        <x:v>代运维</x:v>
      </x:c>
      <x:c r="B20" s="16" t="str">
        <x:v>一般纳税人6%/第三方支付</x:v>
      </x:c>
      <x:c r="C20" s="22" t="n">
        <x:v>0.06</x:v>
      </x:c>
      <x:c r="D20" s="22" t="n">
        <x:v>0.006</x:v>
      </x:c>
      <x:c r="E20" s="20" t="n">
        <x:f>'服务成本'!C9</x:f>
        <x:v>995</x:v>
      </x:c>
      <x:c r="F20" s="20" t="n">
        <x:f>E20-(E20*C20/(1+C20))-(E20*D20)-'服务成本'!F9-(('服务成本'!D9+'服务成本'!E9)*'参数'!$B$5)-(E20*'服务成本'!G9)</x:f>
        <x:v>373.1092452830188</x:v>
      </x:c>
      <x:c r="G20" s="22" t="n">
        <x:f>IF(E20=0,0,F20/E20)</x:f>
        <x:v>0.37498416611358676</x:v>
      </x:c>
      <x:c r="H20" s="21" t="n">
        <x:f>MAX(0,(E20-(E20*C20/(1+C20))-(E20*D20)-'服务成本'!F9-(E20*'服务成本'!G9)-(E20*'参数'!$B$8))/'参数'!$B$5)</x:f>
        <x:v>6.932615566037735</x:v>
      </x:c>
    </x:row>
    <x:row r="21">
      <x:c r="A21" s="16" t="str">
        <x:f>'服务成本'!A10</x:f>
        <x:v>标准数据迁移</x:v>
      </x:c>
      <x:c r="B21" s="16" t="str">
        <x:v>符合条件免税</x:v>
      </x:c>
      <x:c r="C21" s="22" t="n">
        <x:v>0</x:v>
      </x:c>
      <x:c r="D21" s="22" t="n">
        <x:v>0</x:v>
      </x:c>
      <x:c r="E21" s="20" t="n">
        <x:f>'服务成本'!C10</x:f>
        <x:v>249</x:v>
      </x:c>
      <x:c r="F21" s="20" t="n">
        <x:f>E21-(E21*C21/(1+C21))-(E21*D21)-'服务成本'!F10-(('服务成本'!D10+'服务成本'!E10)*'参数'!$B$5)-(E21*'服务成本'!G10)</x:f>
        <x:v>89.08</x:v>
      </x:c>
      <x:c r="G21" s="22" t="n">
        <x:f>IF(E21=0,0,F21/E21)</x:f>
        <x:v>0.35775100401606424</x:v>
      </x:c>
      <x:c r="H21" s="21" t="n">
        <x:f>MAX(0,(E21-(E21*C21/(1+C21))-(E21*D21)-'服务成本'!F10-(E21*'服务成本'!G10)-(E21*'参数'!$B$8))/'参数'!$B$5)</x:f>
        <x:v>1.9297499999999999</x:v>
      </x:c>
    </x:row>
    <x:row r="22">
      <x:c r="A22" s="16" t="str">
        <x:f>'服务成本'!A10</x:f>
        <x:v>标准数据迁移</x:v>
      </x:c>
      <x:c r="B22" s="16" t="str">
        <x:v>小规模1%/转账</x:v>
      </x:c>
      <x:c r="C22" s="22" t="n">
        <x:v>0.01</x:v>
      </x:c>
      <x:c r="D22" s="22" t="n">
        <x:v>0</x:v>
      </x:c>
      <x:c r="E22" s="20" t="n">
        <x:f>'服务成本'!C10</x:f>
        <x:v>249</x:v>
      </x:c>
      <x:c r="F22" s="20" t="n">
        <x:f>E22-(E22*C22/(1+C22))-(E22*D22)-'服务成本'!F10-(('服务成本'!D10+'服务成本'!E10)*'参数'!$B$5)-(E22*'服务成本'!G10)</x:f>
        <x:v>86.61465346534654</x:v>
      </x:c>
      <x:c r="G22" s="22" t="n">
        <x:f>IF(E22=0,0,F22/E22)</x:f>
        <x:v>0.34785001391705433</x:v>
      </x:c>
      <x:c r="H22" s="21" t="n">
        <x:f>MAX(0,(E22-(E22*C22/(1+C22))-(E22*D22)-'服务成本'!F10-(E22*'服务成本'!G10)-(E22*'参数'!$B$8))/'参数'!$B$5)</x:f>
        <x:v>1.8989331683168316</x:v>
      </x:c>
    </x:row>
    <x:row r="23">
      <x:c r="A23" s="16" t="str">
        <x:f>'服务成本'!A10</x:f>
        <x:v>标准数据迁移</x:v>
      </x:c>
      <x:c r="B23" s="16" t="str">
        <x:v>一般纳税人6%/转账</x:v>
      </x:c>
      <x:c r="C23" s="22" t="n">
        <x:v>0.06</x:v>
      </x:c>
      <x:c r="D23" s="22" t="n">
        <x:v>0</x:v>
      </x:c>
      <x:c r="E23" s="20" t="n">
        <x:f>'服务成本'!C10</x:f>
        <x:v>249</x:v>
      </x:c>
      <x:c r="F23" s="20" t="n">
        <x:f>E23-(E23*C23/(1+C23))-(E23*D23)-'服务成本'!F10-(('服务成本'!D10+'服务成本'!E10)*'参数'!$B$5)-(E23*'服务成本'!G10)</x:f>
        <x:v>74.98566037735849</x:v>
      </x:c>
      <x:c r="G23" s="22" t="n">
        <x:f>IF(E23=0,0,F23/E23)</x:f>
        <x:v>0.3011472304311586</x:v>
      </x:c>
      <x:c r="H23" s="21" t="n">
        <x:f>MAX(0,(E23-(E23*C23/(1+C23))-(E23*D23)-'服务成本'!F10-(E23*'服务成本'!G10)-(E23*'参数'!$B$8))/'参数'!$B$5)</x:f>
        <x:v>1.7535707547169814</x:v>
      </x:c>
    </x:row>
    <x:row r="24">
      <x:c r="A24" s="16" t="str">
        <x:f>'服务成本'!A10</x:f>
        <x:v>标准数据迁移</x:v>
      </x:c>
      <x:c r="B24" s="16" t="str">
        <x:v>一般纳税人6%/第三方支付</x:v>
      </x:c>
      <x:c r="C24" s="22" t="n">
        <x:v>0.06</x:v>
      </x:c>
      <x:c r="D24" s="22" t="n">
        <x:v>0.006</x:v>
      </x:c>
      <x:c r="E24" s="20" t="n">
        <x:f>'服务成本'!C10</x:f>
        <x:v>249</x:v>
      </x:c>
      <x:c r="F24" s="20" t="n">
        <x:f>E24-(E24*C24/(1+C24))-(E24*D24)-'服务成本'!F10-(('服务成本'!D10+'服务成本'!E10)*'参数'!$B$5)-(E24*'服务成本'!G10)</x:f>
        <x:v>73.49166037735849</x:v>
      </x:c>
      <x:c r="G24" s="22" t="n">
        <x:f>IF(E24=0,0,F24/E24)</x:f>
        <x:v>0.2951472304311586</x:v>
      </x:c>
      <x:c r="H24" s="21" t="n">
        <x:f>MAX(0,(E24-(E24*C24/(1+C24))-(E24*D24)-'服务成本'!F10-(E24*'服务成本'!G10)-(E24*'参数'!$B$8))/'参数'!$B$5)</x:f>
        <x:v>1.734895754716981</x:v>
      </x:c>
    </x:row>
    <x:row r="25">
      <x:c r="A25" s="16" t="str">
        <x:f>'服务成本'!A11</x:f>
        <x:v>非标准/定制/接口</x:v>
      </x:c>
      <x:c r="B25" s="16" t="str">
        <x:v>符合条件免税</x:v>
      </x:c>
      <x:c r="C25" s="22" t="n">
        <x:v>0</x:v>
      </x:c>
      <x:c r="D25" s="22" t="n">
        <x:v>0</x:v>
      </x:c>
      <x:c r="E25" s="20" t="n">
        <x:f>'服务成本'!C11</x:f>
        <x:v>150</x:v>
      </x:c>
      <x:c r="F25" s="20" t="n">
        <x:f>E25-(E25*C25/(1+C25))-(E25*D25)-'服务成本'!F11-(('服务成本'!D11+'服务成本'!E11)*'参数'!$B$5)-(E25*'服务成本'!G11)</x:f>
        <x:v>58</x:v>
      </x:c>
      <x:c r="G25" s="22" t="n">
        <x:f>IF(E25=0,0,F25/E25)</x:f>
        <x:v>0.38666666666666666</x:v>
      </x:c>
      <x:c r="H25" s="21" t="n">
        <x:f>MAX(0,(E25-(E25*C25/(1+C25))-(E25*D25)-'服务成本'!F11-(E25*'服务成本'!G11)-(E25*'参数'!$B$8))/'参数'!$B$5)</x:f>
        <x:v>1.1625</x:v>
      </x:c>
    </x:row>
    <x:row r="26">
      <x:c r="A26" s="16" t="str">
        <x:f>'服务成本'!A11</x:f>
        <x:v>非标准/定制/接口</x:v>
      </x:c>
      <x:c r="B26" s="16" t="str">
        <x:v>小规模1%/转账</x:v>
      </x:c>
      <x:c r="C26" s="22" t="n">
        <x:v>0.01</x:v>
      </x:c>
      <x:c r="D26" s="22" t="n">
        <x:v>0</x:v>
      </x:c>
      <x:c r="E26" s="20" t="n">
        <x:f>'服务成本'!C11</x:f>
        <x:v>150</x:v>
      </x:c>
      <x:c r="F26" s="20" t="n">
        <x:f>E26-(E26*C26/(1+C26))-(E26*D26)-'服务成本'!F11-(('服务成本'!D11+'服务成本'!E11)*'参数'!$B$5)-(E26*'服务成本'!G11)</x:f>
        <x:v>56.51485148514851</x:v>
      </x:c>
      <x:c r="G26" s="22" t="n">
        <x:f>IF(E26=0,0,F26/E26)</x:f>
        <x:v>0.37676567656765675</x:v>
      </x:c>
      <x:c r="H26" s="21" t="n">
        <x:f>MAX(0,(E26-(E26*C26/(1+C26))-(E26*D26)-'服务成本'!F11-(E26*'服务成本'!G11)-(E26*'参数'!$B$8))/'参数'!$B$5)</x:f>
        <x:v>1.1439356435643564</x:v>
      </x:c>
    </x:row>
    <x:row r="27">
      <x:c r="A27" s="16" t="str">
        <x:f>'服务成本'!A11</x:f>
        <x:v>非标准/定制/接口</x:v>
      </x:c>
      <x:c r="B27" s="16" t="str">
        <x:v>一般纳税人6%/转账</x:v>
      </x:c>
      <x:c r="C27" s="22" t="n">
        <x:v>0.06</x:v>
      </x:c>
      <x:c r="D27" s="22" t="n">
        <x:v>0</x:v>
      </x:c>
      <x:c r="E27" s="20" t="n">
        <x:f>'服务成本'!C11</x:f>
        <x:v>150</x:v>
      </x:c>
      <x:c r="F27" s="20" t="n">
        <x:f>E27-(E27*C27/(1+C27))-(E27*D27)-'服务成本'!F11-(('服务成本'!D11+'服务成本'!E11)*'参数'!$B$5)-(E27*'服务成本'!G11)</x:f>
        <x:v>49.509433962264154</x:v>
      </x:c>
      <x:c r="G27" s="22" t="n">
        <x:f>IF(E27=0,0,F27/E27)</x:f>
        <x:v>0.330062893081761</x:v>
      </x:c>
      <x:c r="H27" s="21" t="n">
        <x:f>MAX(0,(E27-(E27*C27/(1+C27))-(E27*D27)-'服务成本'!F11-(E27*'服务成本'!G11)-(E27*'参数'!$B$8))/'参数'!$B$5)</x:f>
        <x:v>1.056367924528302</x:v>
      </x:c>
    </x:row>
    <x:row r="28">
      <x:c r="A28" s="16" t="str">
        <x:f>'服务成本'!A11</x:f>
        <x:v>非标准/定制/接口</x:v>
      </x:c>
      <x:c r="B28" s="16" t="str">
        <x:v>一般纳税人6%/第三方支付</x:v>
      </x:c>
      <x:c r="C28" s="22" t="n">
        <x:v>0.06</x:v>
      </x:c>
      <x:c r="D28" s="22" t="n">
        <x:v>0.006</x:v>
      </x:c>
      <x:c r="E28" s="20" t="n">
        <x:f>'服务成本'!C11</x:f>
        <x:v>150</x:v>
      </x:c>
      <x:c r="F28" s="20" t="n">
        <x:f>E28-(E28*C28/(1+C28))-(E28*D28)-'服务成本'!F11-(('服务成本'!D11+'服务成本'!E11)*'参数'!$B$5)-(E28*'服务成本'!G11)</x:f>
        <x:v>48.60943396226415</x:v>
      </x:c>
      <x:c r="G28" s="22" t="n">
        <x:f>IF(E28=0,0,F28/E28)</x:f>
        <x:v>0.324062893081761</x:v>
      </x:c>
      <x:c r="H28" s="21" t="n">
        <x:f>MAX(0,(E28-(E28*C28/(1+C28))-(E28*D28)-'服务成本'!F11-(E28*'服务成本'!G11)-(E28*'参数'!$B$8))/'参数'!$B$5)</x:f>
        <x:v>1.0451179245283018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0" customHeight="1">
      <x:c r="A1" s="3" t="str">
        <x:v>M7 真实样本证据</x:v>
      </x:c>
      <x:c r="B1" s="3" t="str">
        <x:v>M7 真实样本证据</x:v>
      </x:c>
      <x:c r="C1" s="3" t="str">
        <x:v>M7 真实样本证据</x:v>
      </x:c>
      <x:c r="D1" s="3" t="str">
        <x:v>M7 真实样本证据</x:v>
      </x:c>
      <x:c r="E1" s="3" t="str">
        <x:v>M7 真实样本证据</x:v>
      </x:c>
      <x:c r="F1" s="3" t="str">
        <x:v>M7 真实样本证据</x:v>
      </x:c>
      <x:c r="G1" s="3" t="str">
        <x:v>M7 真实样本证据</x:v>
      </x:c>
      <x:c r="H1" s="3" t="str">
        <x:v>M7 真实样本证据</x:v>
      </x:c>
    </x:row>
    <x:row r="2" ht="28" customHeight="1">
      <x:c r="A2" s="7" t="str">
        <x:v>研发修复、客户等待和第三方等待与标准交付人工分开记录；没有证据的服务不得假设为零成本。</x:v>
      </x:c>
      <x:c r="B2" s="7" t="str">
        <x:v>研发修复、客户等待和第三方等待与标准交付人工分开记录；没有证据的服务不得假设为零成本。</x:v>
      </x:c>
      <x:c r="C2" s="7" t="str">
        <x:v>研发修复、客户等待和第三方等待与标准交付人工分开记录；没有证据的服务不得假设为零成本。</x:v>
      </x:c>
      <x:c r="D2" s="7" t="str">
        <x:v>研发修复、客户等待和第三方等待与标准交付人工分开记录；没有证据的服务不得假设为零成本。</x:v>
      </x:c>
      <x:c r="E2" s="7" t="str">
        <x:v>研发修复、客户等待和第三方等待与标准交付人工分开记录；没有证据的服务不得假设为零成本。</x:v>
      </x:c>
      <x:c r="F2" s="7" t="str">
        <x:v>研发修复、客户等待和第三方等待与标准交付人工分开记录；没有证据的服务不得假设为零成本。</x:v>
      </x:c>
      <x:c r="G2" s="7" t="str">
        <x:v>研发修复、客户等待和第三方等待与标准交付人工分开记录；没有证据的服务不得假设为零成本。</x:v>
      </x:c>
      <x:c r="H2" s="7" t="str">
        <x:v>研发修复、客户等待和第三方等待与标准交付人工分开记录；没有证据的服务不得假设为零成本。</x:v>
      </x:c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12" t="str">
        <x:v>样本</x:v>
      </x:c>
      <x:c r="B4" s="12" t="str">
        <x:v>环境</x:v>
      </x:c>
      <x:c r="C4" s="12" t="str">
        <x:v>总墙钟</x:v>
      </x:c>
      <x:c r="D4" s="12" t="str">
        <x:v>标准交付/维护</x:v>
      </x:c>
      <x:c r="E4" s="12" t="str">
        <x:v>支持事件</x:v>
      </x:c>
      <x:c r="F4" s="12" t="str">
        <x:v>研发/缺陷</x:v>
      </x:c>
      <x:c r="G4" s="12" t="str">
        <x:v>关键耗时</x:v>
      </x:c>
      <x:c r="H4" s="12" t="str">
        <x:v>成本解释</x:v>
      </x:c>
    </x:row>
    <x:row r="5">
      <x:c r="A5" s="16" t="str">
        <x:v>M7-02 零支持安装演练</x:v>
      </x:c>
      <x:c r="B5" s="16" t="str">
        <x:v>AWS Ubuntu 24.04 x86_64 / 2vCPU/8GB</x:v>
      </x:c>
      <x:c r="C5" s="30" t="n">
        <x:v>86.52</x:v>
      </x:c>
      <x:c r="D5" s="30" t="n">
        <x:v>28.67</x:v>
      </x:c>
      <x:c r="E5" s="30" t="n">
        <x:v>15</x:v>
      </x:c>
      <x:c r="F5" s="16" t="str">
        <x:v>安装器/文档多次迭代</x:v>
      </x:c>
      <x:c r="G5" s="16" t="str">
        <x:v>备份22秒；恢复45秒；导出约1秒</x:v>
      </x:c>
      <x:c r="H5" s="16" t="str">
        <x:v>SUPPORT_REQUIRED；不得计为零支持标准样本</x:v>
      </x:c>
    </x:row>
    <x:row r="6">
      <x:c r="A6" s="16" t="str">
        <x:v>M7-03 首日经营闭环</x:v>
      </x:c>
      <x:c r="B6" s="16" t="str">
        <x:v>AWS Ubuntu 24.04 x86_64 / 2vCPU/4GB</x:v>
      </x:c>
      <x:c r="C6" s="30"/>
      <x:c r="D6" s="30"/>
      <x:c r="E6" s="30"/>
      <x:c r="F6" s="16" t="str">
        <x:v>多项业务缺陷修复</x:v>
      </x:c>
      <x:c r="G6" s="16" t="str">
        <x:v>完整采购到收付款闭环</x:v>
      </x:c>
      <x:c r="H6" s="16" t="str">
        <x:v>用于暴露产品研发，不作为标准部署工时样本</x:v>
      </x:c>
    </x:row>
    <x:row r="7">
      <x:c r="A7" s="16" t="str">
        <x:v>M7-04 连续经营/升级</x:v>
      </x:c>
      <x:c r="B7" s="16" t="str">
        <x:v>AWS Ubuntu 24.04 x86_64 / 2vCPU/4GB</x:v>
      </x:c>
      <x:c r="C7" s="30"/>
      <x:c r="D7" s="30" t="n">
        <x:v>3.68</x:v>
      </x:c>
      <x:c r="E7" s="30" t="n">
        <x:v>3</x:v>
      </x:c>
      <x:c r="F7" s="16" t="str">
        <x:v>维护入口切换缺陷1项</x:v>
      </x:c>
      <x:c r="G7" s="16" t="str">
        <x:v>准备24s/迁移25s/切换56s/回滚50s/恢复45s</x:v>
      </x:c>
      <x:c r="H7" s="16" t="str">
        <x:v>自动化耗时短；人工判断与失败恢复仍需服务额度</x:v>
      </x:c>
    </x:row>
    <x:row r="8">
      <x:c r="A8" s="34"/>
      <x:c r="B8" s="34"/>
      <x:c r="C8" s="34"/>
      <x:c r="D8" s="34"/>
      <x:c r="E8" s="34"/>
      <x:c r="F8" s="34"/>
      <x:c r="G8" s="34"/>
      <x:c r="H8" s="34"/>
    </x:row>
    <x:row r="9">
      <x:c r="A9" s="34"/>
      <x:c r="B9" s="34"/>
      <x:c r="C9" s="34"/>
      <x:c r="D9" s="34"/>
      <x:c r="E9" s="34"/>
      <x:c r="F9" s="34"/>
      <x:c r="G9" s="34"/>
      <x:c r="H9" s="34"/>
    </x:row>
    <x:row r="10" ht="30" customHeight="1">
      <x:c r="A10" s="12" t="str">
        <x:v>观察项</x:v>
      </x:c>
      <x:c r="B10" s="12" t="str">
        <x:v>计入口径</x:v>
      </x:c>
      <x:c r="C10" s="12" t="str">
        <x:v>M7证据</x:v>
      </x:c>
      <x:c r="D10" s="12" t="str">
        <x:v>进入价格模型</x:v>
      </x:c>
      <x:c r="E10" s="12" t="str">
        <x:v>后续收集</x:v>
      </x:c>
      <x:c r="F10" s="34"/>
      <x:c r="G10" s="34"/>
      <x:c r="H10" s="34"/>
    </x:row>
    <x:row r="11">
      <x:c r="A11" s="16" t="str">
        <x:v>标准实施人工</x:v>
      </x:c>
      <x:c r="B11" s="16" t="str">
        <x:v>兼容环境下安装、HTTPS、管理员、备份和交接</x:v>
      </x:c>
      <x:c r="C11" s="16" t="str">
        <x:v>M7-02安装至健康28分40秒，但前后有大量引导</x:v>
      </x:c>
      <x:c r="D11" s="16" t="str">
        <x:v>按1.5小时保守计入云部署</x:v>
      </x:c>
      <x:c r="E11" s="16" t="str">
        <x:v>第二份精确main零支持样本</x:v>
      </x:c>
      <x:c r="F11" s="34"/>
      <x:c r="G11" s="34"/>
      <x:c r="H11" s="34"/>
    </x:row>
    <x:row r="12">
      <x:c r="A12" s="16" t="str">
        <x:v>客户等待</x:v>
      </x:c>
      <x:c r="B12" s="16" t="str">
        <x:v>DNS、授权、付款和验收等待不计主动人工，但必须有超时边界</x:v>
      </x:c>
      <x:c r="C12" s="16" t="str">
        <x:v>M7-02多次人工提示</x:v>
      </x:c>
      <x:c r="D12" s="16" t="str">
        <x:v>不进入标准人工；超范围另计</x:v>
      </x:c>
      <x:c r="E12" s="16" t="str">
        <x:v>记录开始/暂停/恢复时间</x:v>
      </x:c>
      <x:c r="F12" s="34"/>
      <x:c r="G12" s="34"/>
      <x:c r="H12" s="34"/>
    </x:row>
    <x:row r="13">
      <x:c r="A13" s="16" t="str">
        <x:v>第三方等待</x:v>
      </x:c>
      <x:c r="B13" s="16" t="str">
        <x:v>云平台、域名、证书和网络问题</x:v>
      </x:c>
      <x:c r="C13" s="16" t="str">
        <x:v>证书/DNS曾影响安装</x:v>
      </x:c>
      <x:c r="D13" s="16" t="str">
        <x:v>不免费无限吸收</x:v>
      </x:c>
      <x:c r="E13" s="16" t="str">
        <x:v>形成第三方工单编号</x:v>
      </x:c>
      <x:c r="F13" s="34"/>
      <x:c r="G13" s="34"/>
      <x:c r="H13" s="34"/>
    </x:row>
    <x:row r="14">
      <x:c r="A14" s="16" t="str">
        <x:v>产品研发</x:v>
      </x:c>
      <x:c r="B14" s="16" t="str">
        <x:v>通用产品缺陷和安装器迭代</x:v>
      </x:c>
      <x:c r="C14" s="16" t="str">
        <x:v>M7-03/M7-04存在真实修复</x:v>
      </x:c>
      <x:c r="D14" s="16" t="str">
        <x:v>不向一个订单摊派</x:v>
      </x:c>
      <x:c r="E14" s="16" t="str">
        <x:v>单独进入研发预算</x:v>
      </x:c>
      <x:c r="F14" s="34"/>
      <x:c r="G14" s="34"/>
      <x:c r="H14" s="34"/>
    </x:row>
    <x:row r="15">
      <x:c r="A15" s="16" t="str">
        <x:v>安全响应</x:v>
      </x:c>
      <x:c r="B15" s="16" t="str">
        <x:v>秘密、权限、备份、恢复和审计异常</x:v>
      </x:c>
      <x:c r="C15" s="16" t="str">
        <x:v>客户持钥、监控、恢复门槛已验证</x:v>
      </x:c>
      <x:c r="D15" s="16" t="str">
        <x:v>按价格8%-10%储备</x:v>
      </x:c>
      <x:c r="E15" s="16" t="str">
        <x:v>真实事件按工单复算</x:v>
      </x:c>
      <x:c r="F15" s="34"/>
      <x:c r="G15" s="34"/>
      <x:c r="H15" s="34"/>
    </x:row>
    <x:row r="16">
      <x:c r="A16" s="16" t="str">
        <x:v>退款/重做</x:v>
      </x:c>
      <x:c r="B16" s="16" t="str">
        <x:v>未达书面范围的返工和退款</x:v>
      </x:c>
      <x:c r="C16" s="16" t="str">
        <x:v>当前没有真实收费退款样本</x:v>
      </x:c>
      <x:c r="D16" s="16" t="str">
        <x:v>按价格8%-10%储备</x:v>
      </x:c>
      <x:c r="E16" s="16" t="str">
        <x:v>首批正式订单逐单记录</x:v>
      </x:c>
      <x:c r="F16" s="34"/>
      <x:c r="G16" s="34"/>
      <x:c r="H16" s="34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24" hidden="0" customWidth="1"/>
  </x:cols>
  <x:sheetData>
    <x:row r="1" ht="30" customHeight="1">
      <x:c r="A1" s="3" t="str">
        <x:v>中国境内税费口径（2026-07-18）</x:v>
      </x:c>
      <x:c r="B1" s="3" t="str">
        <x:v>中国境内税费口径（2026-07-18）</x:v>
      </x:c>
      <x:c r="C1" s="3" t="str">
        <x:v>中国境内税费口径（2026-07-18）</x:v>
      </x:c>
      <x:c r="D1" s="3" t="str">
        <x:v>中国境内税费口径（2026-07-18）</x:v>
      </x:c>
      <x:c r="E1" s="3" t="str">
        <x:v>中国境内税费口径（2026-07-18）</x:v>
      </x:c>
      <x:c r="F1" s="3" t="str">
        <x:v>中国境内税费口径（2026-07-18）</x:v>
      </x:c>
    </x:row>
    <x:row r="2" ht="28" customHeight="1">
      <x:c r="A2" s="7" t="str">
        <x:v>仅作为价格敏感性，不替代企业会计/税务确认；正式收费前必须按纳税人身份、交易性质和发票类型复核。</x:v>
      </x:c>
      <x:c r="B2" s="7" t="str">
        <x:v>仅作为价格敏感性，不替代企业会计/税务确认；正式收费前必须按纳税人身份、交易性质和发票类型复核。</x:v>
      </x:c>
      <x:c r="C2" s="7" t="str">
        <x:v>仅作为价格敏感性，不替代企业会计/税务确认；正式收费前必须按纳税人身份、交易性质和发票类型复核。</x:v>
      </x:c>
      <x:c r="D2" s="7" t="str">
        <x:v>仅作为价格敏感性，不替代企业会计/税务确认；正式收费前必须按纳税人身份、交易性质和发票类型复核。</x:v>
      </x:c>
      <x:c r="E2" s="7" t="str">
        <x:v>仅作为价格敏感性，不替代企业会计/税务确认；正式收费前必须按纳税人身份、交易性质和发票类型复核。</x:v>
      </x:c>
      <x:c r="F2" s="7" t="str">
        <x:v>仅作为价格敏感性，不替代企业会计/税务确认；正式收费前必须按纳税人身份、交易性质和发票类型复核。</x:v>
      </x:c>
    </x:row>
    <x:row r="3">
      <x:c r="A3" s="34"/>
      <x:c r="B3" s="34"/>
      <x:c r="C3" s="34"/>
      <x:c r="D3" s="34"/>
      <x:c r="E3" s="34"/>
      <x:c r="F3" s="34"/>
    </x:row>
    <x:row r="4" ht="30" customHeight="1">
      <x:c r="A4" s="12" t="str">
        <x:v>事项</x:v>
      </x:c>
      <x:c r="B4" s="12" t="str">
        <x:v>当前口径</x:v>
      </x:c>
      <x:c r="C4" s="12" t="str">
        <x:v>模型处理</x:v>
      </x:c>
      <x:c r="D4" s="12" t="str">
        <x:v>适用条件</x:v>
      </x:c>
      <x:c r="E4" s="12" t="str">
        <x:v>正式动作</x:v>
      </x:c>
      <x:c r="F4" s="12" t="str">
        <x:v>官方来源编号</x:v>
      </x:c>
    </x:row>
    <x:row r="5">
      <x:c r="A5" s="16" t="str">
        <x:v>小规模增值税免税阈值</x:v>
      </x:c>
      <x:c r="B5" s="16" t="str">
        <x:v>2026-2027月销售额10万元；按季30万元</x:v>
      </x:c>
      <x:c r="C5" s="16" t="str">
        <x:v>仅在敏感性列示0%</x:v>
      </x:c>
      <x:c r="D5" s="16" t="str">
        <x:v>须满足小规模身份和现行免税条件</x:v>
      </x:c>
      <x:c r="E5" s="16" t="str">
        <x:v>会计确认后开票/申报</x:v>
      </x:c>
      <x:c r="F5" s="16" t="str">
        <x:v>S1</x:v>
      </x:c>
    </x:row>
    <x:row r="6">
      <x:c r="A6" s="16" t="str">
        <x:v>小规模征收率</x:v>
      </x:c>
      <x:c r="B6" s="16" t="str">
        <x:v>2026-01-01起适用3%征收率的应税交易减按1%征收</x:v>
      </x:c>
      <x:c r="C6" s="16" t="str">
        <x:v>敏感性列示1%</x:v>
      </x:c>
      <x:c r="D6" s="16" t="str">
        <x:v>交易本身适用小规模征收率政策</x:v>
      </x:c>
      <x:c r="E6" s="16" t="str">
        <x:v>会计确认交易分类</x:v>
      </x:c>
      <x:c r="F6" s="16" t="str">
        <x:v>S2</x:v>
      </x:c>
    </x:row>
    <x:row r="7">
      <x:c r="A7" s="16" t="str">
        <x:v>一般纳税人现代服务</x:v>
      </x:c>
      <x:c r="B7" s="16" t="str">
        <x:v>现代服务通常6%</x:v>
      </x:c>
      <x:c r="C7" s="16" t="str">
        <x:v>默认保守情景6%</x:v>
      </x:c>
      <x:c r="D7" s="16" t="str">
        <x:v>须按具体服务和纳税人身份判断</x:v>
      </x:c>
      <x:c r="E7" s="16" t="str">
        <x:v>会计确认税收分类编码</x:v>
      </x:c>
      <x:c r="F7" s="16" t="str">
        <x:v>S3</x:v>
      </x:c>
    </x:row>
    <x:row r="8">
      <x:c r="A8" s="16" t="str">
        <x:v>小型微利企业所得税</x:v>
      </x:c>
      <x:c r="B8" s="16" t="str">
        <x:v>符合条件时有效税负约5%，政策至2027年底</x:v>
      </x:c>
      <x:c r="C8" s="16" t="str">
        <x:v>只做税后敏感性，不进入订单现金成本</x:v>
      </x:c>
      <x:c r="D8" s="16" t="str">
        <x:v>年度应纳税所得额、从业人数、资产等均满足条件</x:v>
      </x:c>
      <x:c r="E8" s="16" t="str">
        <x:v>年度汇算由会计确认</x:v>
      </x:c>
      <x:c r="F8" s="16" t="str">
        <x:v>S4</x:v>
      </x:c>
    </x:row>
    <x:row r="9">
      <x:c r="A9" s="34"/>
      <x:c r="B9" s="34"/>
      <x:c r="C9" s="34"/>
      <x:c r="D9" s="34"/>
      <x:c r="E9" s="34"/>
      <x:c r="F9" s="34"/>
    </x:row>
    <x:row r="10">
      <x:c r="A10" s="34"/>
      <x:c r="B10" s="34"/>
      <x:c r="C10" s="34"/>
      <x:c r="D10" s="34"/>
      <x:c r="E10" s="34"/>
      <x:c r="F10" s="34"/>
    </x:row>
    <x:row r="11" ht="30" customHeight="1">
      <x:c r="A11" s="12" t="str">
        <x:v>检查问题</x:v>
      </x:c>
      <x:c r="B11" s="12" t="str">
        <x:v>免税情景</x:v>
      </x:c>
      <x:c r="C11" s="12" t="str">
        <x:v>1%情景</x:v>
      </x:c>
      <x:c r="D11" s="12" t="str">
        <x:v>6%情景</x:v>
      </x:c>
      <x:c r="E11" s="12" t="str">
        <x:v>本模型默认</x:v>
      </x:c>
      <x:c r="F11" s="12" t="str">
        <x:v>结论</x:v>
      </x:c>
    </x:row>
    <x:row r="12">
      <x:c r="A12" s="16" t="str">
        <x:v>含税价格是否另加税点</x:v>
      </x:c>
      <x:c r="B12" s="16" t="str">
        <x:v>否</x:v>
      </x:c>
      <x:c r="C12" s="16" t="str">
        <x:v>否</x:v>
      </x:c>
      <x:c r="D12" s="16" t="str">
        <x:v>否</x:v>
      </x:c>
      <x:c r="E12" s="16" t="str">
        <x:v>否</x:v>
      </x:c>
      <x:c r="F12" s="16" t="str">
        <x:v>全部对外价格必须是含税总价</x:v>
      </x:c>
    </x:row>
    <x:row r="13">
      <x:c r="A13" s="16" t="str">
        <x:v>税率能否由销售人员自行选择</x:v>
      </x:c>
      <x:c r="B13" s="16" t="str">
        <x:v>否</x:v>
      </x:c>
      <x:c r="C13" s="16" t="str">
        <x:v>否</x:v>
      </x:c>
      <x:c r="D13" s="16" t="str">
        <x:v>否</x:v>
      </x:c>
      <x:c r="E13" s="16" t="str">
        <x:v>否</x:v>
      </x:c>
      <x:c r="F13" s="16" t="str">
        <x:v>由企业会计按实际身份和交易确认</x:v>
      </x:c>
    </x:row>
    <x:row r="14">
      <x:c r="A14" s="16" t="str">
        <x:v>企业所得税是否等于收入×5%</x:v>
      </x:c>
      <x:c r="B14" s="16" t="str">
        <x:v>否</x:v>
      </x:c>
      <x:c r="C14" s="16" t="str">
        <x:v>否</x:v>
      </x:c>
      <x:c r="D14" s="16" t="str">
        <x:v>否</x:v>
      </x:c>
      <x:c r="E14" s="16" t="str">
        <x:v>否</x:v>
      </x:c>
      <x:c r="F14" s="16" t="str">
        <x:v>只对符合条件的应纳税所得额适用</x:v>
      </x:c>
    </x:row>
    <x:row r="15">
      <x:c r="A15" s="16" t="str">
        <x:v>本报告能否作为正式税务意见</x:v>
      </x:c>
      <x:c r="B15" s="16" t="str">
        <x:v>否</x:v>
      </x:c>
      <x:c r="C15" s="16" t="str">
        <x:v>否</x:v>
      </x:c>
      <x:c r="D15" s="16" t="str">
        <x:v>否</x:v>
      </x:c>
      <x:c r="E15" s="16" t="str">
        <x:v>否</x:v>
      </x:c>
      <x:c r="F15" s="16" t="str">
        <x:v>仍需企业会计/税务人员复核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8" hidden="0" customWidth="1"/>
    <x:col min="5" max="5" width="48" hidden="0" customWidth="1"/>
  </x:cols>
  <x:sheetData>
    <x:row r="1" ht="30" customHeight="1">
      <x:c r="A1" s="3" t="str">
        <x:v>模型完整性检查</x:v>
      </x:c>
      <x:c r="B1" s="3" t="str">
        <x:v>模型完整性检查</x:v>
      </x:c>
      <x:c r="C1" s="3" t="str">
        <x:v>模型完整性检查</x:v>
      </x:c>
      <x:c r="D1" s="3" t="str">
        <x:v>模型完整性检查</x:v>
      </x:c>
      <x:c r="E1" s="3" t="str">
        <x:v>模型完整性检查</x:v>
      </x:c>
    </x:row>
    <x:row r="2" ht="28" customHeight="1">
      <x:c r="A2" s="7" t="str">
        <x:v>任何失败都表示不能据此调整或公开价格。</x:v>
      </x:c>
      <x:c r="B2" s="7" t="str">
        <x:v>任何失败都表示不能据此调整或公开价格。</x:v>
      </x:c>
      <x:c r="C2" s="7" t="str">
        <x:v>任何失败都表示不能据此调整或公开价格。</x:v>
      </x:c>
      <x:c r="D2" s="7" t="str">
        <x:v>任何失败都表示不能据此调整或公开价格。</x:v>
      </x:c>
      <x:c r="E2" s="7" t="str">
        <x:v>任何失败都表示不能据此调整或公开价格。</x:v>
      </x:c>
    </x:row>
    <x:row r="3">
      <x:c r="A3" s="34"/>
      <x:c r="B3" s="34"/>
      <x:c r="C3" s="34"/>
      <x:c r="D3" s="34"/>
      <x:c r="E3" s="34"/>
    </x:row>
    <x:row r="4" ht="30" customHeight="1">
      <x:c r="A4" s="12" t="str">
        <x:v>检查</x:v>
      </x:c>
      <x:c r="B4" s="12" t="str">
        <x:v>公式结果</x:v>
      </x:c>
      <x:c r="C4" s="12" t="str">
        <x:v>状态</x:v>
      </x:c>
      <x:c r="D4" s="12" t="str">
        <x:v>说明</x:v>
      </x:c>
      <x:c r="E4" s="12" t="str">
        <x:v>处理</x:v>
      </x:c>
    </x:row>
    <x:row r="5">
      <x:c r="A5" s="16" t="str">
        <x:v>所有有价服务贡献毛利率≥30%</x:v>
      </x:c>
      <x:c r="B5" s="29" t="b">
        <x:f>MIN('服务成本'!P6:P11)&gt;='参数'!B8</x:f>
        <x:v>1</x:v>
      </x:c>
      <x:c r="C5" s="16" t="str">
        <x:f>IF(B5,"PASS","FAIL")</x:f>
        <x:v>PASS</x:v>
      </x:c>
      <x:c r="D5" s="16" t="str">
        <x:v>使用保守6%增值税、0%支付费和风险储备</x:v>
      </x:c>
      <x:c r="E5" s="16" t="str">
        <x:v>失败则提高价格或缩小额度</x:v>
      </x:c>
    </x:row>
    <x:row r="6">
      <x:c r="A6" s="16" t="str">
        <x:v>云部署主动人工≤2小时</x:v>
      </x:c>
      <x:c r="B6" s="29" t="b">
        <x:f>SUM('服务成本'!D6:E6)&lt;=2</x:f>
        <x:v>1</x:v>
      </x:c>
      <x:c r="C6" s="16" t="str">
        <x:f>IF(B6,"PASS","FAIL")</x:f>
        <x:v>PASS</x:v>
      </x:c>
      <x:c r="D6" s="16" t="str">
        <x:v>标准云部署包含安装、HTTPS、管理员、备份和一次恢复</x:v>
      </x:c>
      <x:c r="E6" s="16" t="str">
        <x:v>客户等待和非标准环境另计</x:v>
      </x:c>
    </x:row>
    <x:row r="7">
      <x:c r="A7" s="16" t="str">
        <x:v>安心维护全年主动人工≤120分钟</x:v>
      </x:c>
      <x:c r="B7" s="29" t="b">
        <x:f>SUM('服务成本'!D8:E8)&lt;=2.25</x:f>
        <x:v>1</x:v>
      </x:c>
      <x:c r="C7" s="16" t="str">
        <x:f>IF(B7,"PASS","FAIL")</x:f>
        <x:v>PASS</x:v>
      </x:c>
      <x:c r="D7" s="16" t="str">
        <x:v>4次联系保留，但总人工从4小时调整为2小时</x:v>
      </x:c>
      <x:c r="E7" s="16" t="str">
        <x:v>超出按¥150/小时</x:v>
      </x:c>
    </x:row>
    <x:row r="8">
      <x:c r="A8" s="16" t="str">
        <x:v>迁移主动人工≤1.75小时</x:v>
      </x:c>
      <x:c r="B8" s="29" t="b">
        <x:f>SUM('服务成本'!D10:E10)&lt;=1.75</x:f>
        <x:v>1</x:v>
      </x:c>
      <x:c r="C8" s="16" t="str">
        <x:f>IF(B8,"PASS","FAIL")</x:f>
        <x:v>PASS</x:v>
      </x:c>
      <x:c r="D8" s="16" t="str">
        <x:v>仅支持模板、≤1,000行、一次样本+一次正式</x:v>
      </x:c>
      <x:c r="E8" s="16" t="str">
        <x:v>复杂清洗和历史单据另计</x:v>
      </x:c>
    </x:row>
    <x:row r="9">
      <x:c r="A9" s="16" t="str">
        <x:v>自助部署价格保持¥0</x:v>
      </x:c>
      <x:c r="B9" s="29" t="b">
        <x:f>'服务成本'!C5=0</x:f>
        <x:v>1</x:v>
      </x:c>
      <x:c r="C9" s="16" t="str">
        <x:f>IF(B9,"PASS","FAIL")</x:f>
        <x:v>PASS</x:v>
      </x:c>
      <x:c r="D9" s="16" t="str">
        <x:v>免费不含人工实施和无限支持</x:v>
      </x:c>
      <x:c r="E9" s="16" t="str">
        <x:v>客户可选购标准服务</x:v>
      </x:c>
    </x:row>
    <x:row r="10">
      <x:c r="A10" s="16" t="str">
        <x:v>本地/NAS与代运维未误标正式发布</x:v>
      </x:c>
      <x:c r="B10" s="29" t="b">
        <x:f>AND(ISNUMBER(SEARCH("暂不发布",'服务成本'!R7)),ISNUMBER(SEARCH("暂不发布",'服务成本'!R9)))</x:f>
        <x:v>1</x:v>
      </x:c>
      <x:c r="C10" s="16" t="str">
        <x:f>IF(B10,"PASS","FAIL")</x:f>
        <x:v>PASS</x:v>
      </x:c>
      <x:c r="D10" s="16" t="str">
        <x:v>缺M7-06和异机通知正式样本</x:v>
      </x:c>
      <x:c r="E10" s="16" t="str">
        <x:v>完成门槛后重新复算</x:v>
      </x:c>
    </x:row>
    <x:row r="11">
      <x:c r="A11" s="16" t="str">
        <x:v>正式发布阻断未被清除</x:v>
      </x:c>
      <x:c r="B11" s="29" t="b">
        <x:f>AND('结论'!F17="FORMAL_RELEASE_BLOCKED",'结论'!F18="FORMAL_RELEASE_BLOCKED")</x:f>
        <x:v>1</x:v>
      </x:c>
      <x:c r="C11" s="16" t="str">
        <x:f>IF(B11,"PASS","FAIL")</x:f>
        <x:v>PASS</x:v>
      </x:c>
      <x:c r="D11" s="16" t="str">
        <x:v>M6、M7-02第二样本、M7-06继续阻断正式发布</x:v>
      </x:c>
      <x:c r="E11" s="16" t="str">
        <x:v>只能内部演练</x:v>
      </x:c>
    </x:row>
  </x:sheetData>
  <x:mergeCells>
    <x:mergeCell ref="A1:E1"/>
    <x:mergeCell ref="A2:E2"/>
  </x:mergeCells>
  <x:conditionalFormatting sqref="C5:C11">
    <x:cfRule type="cellIs" dxfId="2" priority="1" operator="equal">
      <x:formula>"PASS"</x:formula>
    </x:cfRule>
    <x:cfRule type="cellIs" dxfId="3" priority="2" operator="equal">
      <x:formula>"FAIL"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70" hidden="0" customWidth="1"/>
    <x:col min="4" max="4" width="48" hidden="0" customWidth="1"/>
    <x:col min="5" max="5" width="22" hidden="0" customWidth="1"/>
  </x:cols>
  <x:sheetData>
    <x:row r="1" ht="30" customHeight="1">
      <x:c r="A1" s="3" t="str">
        <x:v>来源与证据索引</x:v>
      </x:c>
      <x:c r="B1" s="3" t="str">
        <x:v>来源与证据索引</x:v>
      </x:c>
      <x:c r="C1" s="3" t="str">
        <x:v>来源与证据索引</x:v>
      </x:c>
      <x:c r="D1" s="3" t="str">
        <x:v>来源与证据索引</x:v>
      </x:c>
      <x:c r="E1" s="3" t="str">
        <x:v>来源与证据索引</x:v>
      </x:c>
    </x:row>
    <x:row r="2" ht="28" customHeight="1">
      <x:c r="A2" s="7" t="str">
        <x:v>链接和本地文件用于复核模型；访问日期均为2026-07-18。</x:v>
      </x:c>
      <x:c r="B2" s="7" t="str">
        <x:v>链接和本地文件用于复核模型；访问日期均为2026-07-18。</x:v>
      </x:c>
      <x:c r="C2" s="7" t="str">
        <x:v>链接和本地文件用于复核模型；访问日期均为2026-07-18。</x:v>
      </x:c>
      <x:c r="D2" s="7" t="str">
        <x:v>链接和本地文件用于复核模型；访问日期均为2026-07-18。</x:v>
      </x:c>
      <x:c r="E2" s="7" t="str">
        <x:v>链接和本地文件用于复核模型；访问日期均为2026-07-18。</x:v>
      </x:c>
    </x:row>
    <x:row r="3">
      <x:c r="A3" s="34"/>
      <x:c r="B3" s="34"/>
      <x:c r="C3" s="34"/>
      <x:c r="D3" s="34"/>
      <x:c r="E3" s="34"/>
    </x:row>
    <x:row r="4" ht="30" customHeight="1">
      <x:c r="A4" s="12" t="str">
        <x:v>编号</x:v>
      </x:c>
      <x:c r="B4" s="12" t="str">
        <x:v>类型</x:v>
      </x:c>
      <x:c r="C4" s="12" t="str">
        <x:v>来源</x:v>
      </x:c>
      <x:c r="D4" s="12" t="str">
        <x:v>支持内容</x:v>
      </x:c>
      <x:c r="E4" s="12" t="str">
        <x:v>访问/证据日期</x:v>
      </x:c>
    </x:row>
    <x:row r="5">
      <x:c r="A5" s="16" t="str">
        <x:v>S1</x:v>
      </x:c>
      <x:c r="B5" s="16" t="str">
        <x:v>官方法规</x:v>
      </x:c>
      <x:c r="C5" s="31" t="str">
        <x:v>https://fgk.chinatax.gov.cn/zcfgk/c102416/c5247434/content.html</x:v>
      </x:c>
      <x:c r="D5" s="16" t="str">
        <x:v>2026-2027小规模免税阈值</x:v>
      </x:c>
      <x:c r="E5" s="16" t="str">
        <x:v>2026-07-18</x:v>
      </x:c>
    </x:row>
    <x:row r="6">
      <x:c r="A6" s="16" t="str">
        <x:v>S2</x:v>
      </x:c>
      <x:c r="B6" s="16" t="str">
        <x:v>官方法规</x:v>
      </x:c>
      <x:c r="C6" s="31" t="str">
        <x:v>https://fgk.chinatax.gov.cn/zcfgk/c100012/c5247426/content.html</x:v>
      </x:c>
      <x:c r="D6" s="16" t="str">
        <x:v>2026小规模1%征收率</x:v>
      </x:c>
      <x:c r="E6" s="16" t="str">
        <x:v>2026-07-18</x:v>
      </x:c>
    </x:row>
    <x:row r="7">
      <x:c r="A7" s="16" t="str">
        <x:v>S3</x:v>
      </x:c>
      <x:c r="B7" s="16" t="str">
        <x:v>官方法规</x:v>
      </x:c>
      <x:c r="C7" s="31" t="str">
        <x:v>https://fgk.chinatax.gov.cn/zcfgk/c100024/c5236196/content.html</x:v>
      </x:c>
      <x:c r="D7" s="16" t="str">
        <x:v>现代服务6%税率口径</x:v>
      </x:c>
      <x:c r="E7" s="16" t="str">
        <x:v>2026-07-18</x:v>
      </x:c>
    </x:row>
    <x:row r="8">
      <x:c r="A8" s="16" t="str">
        <x:v>S4</x:v>
      </x:c>
      <x:c r="B8" s="16" t="str">
        <x:v>官方法规</x:v>
      </x:c>
      <x:c r="C8" s="31" t="str">
        <x:v>https://hq.mof.gov.cn/tongzhitonggao/202308/t20230824_3903848.htm</x:v>
      </x:c>
      <x:c r="D8" s="16" t="str">
        <x:v>小型微利企业所得税优惠至2027</x:v>
      </x:c>
      <x:c r="E8" s="16" t="str">
        <x:v>2026-07-18</x:v>
      </x:c>
    </x:row>
    <x:row r="9">
      <x:c r="A9" s="16" t="str">
        <x:v>E1</x:v>
      </x:c>
      <x:c r="B9" s="16" t="str">
        <x:v>内部证据</x:v>
      </x:c>
      <x:c r="C9" s="31" t="str">
        <x:v>copper_deploy/docs/M7_02_SELF_SERVICE_EVIDENCE.md</x:v>
      </x:c>
      <x:c r="D9" s="16" t="str">
        <x:v>安装、支持事件、备份、恢复和导出耗时</x:v>
      </x:c>
      <x:c r="E9" s="16" t="str">
        <x:v>2026-07-18</x:v>
      </x:c>
    </x:row>
    <x:row r="10">
      <x:c r="A10" s="16" t="str">
        <x:v>E2</x:v>
      </x:c>
      <x:c r="B10" s="16" t="str">
        <x:v>内部证据</x:v>
      </x:c>
      <x:c r="C10" s="31" t="str">
        <x:v>docs/self-hosting/M7_03_FIRST_DAY_BUSINESS_ACCEPTANCE_REPORT.md</x:v>
      </x:c>
      <x:c r="D10" s="16" t="str">
        <x:v>首日经营闭环和研发缺陷边界</x:v>
      </x:c>
      <x:c r="E10" s="16" t="str">
        <x:v>2026-07-18</x:v>
      </x:c>
    </x:row>
    <x:row r="11">
      <x:c r="A11" s="16" t="str">
        <x:v>E3</x:v>
      </x:c>
      <x:c r="B11" s="16" t="str">
        <x:v>内部证据</x:v>
      </x:c>
      <x:c r="C11" s="31" t="str">
        <x:v>copper_deploy/docs/M7_04_UPGRADE_RECOVERY_CONTINUITY_EVIDENCE.md</x:v>
      </x:c>
      <x:c r="D11" s="16" t="str">
        <x:v>升级、回滚、备份、恢复与支持事件</x:v>
      </x:c>
      <x:c r="E11" s="16" t="str">
        <x:v>2026-07-18</x:v>
      </x:c>
    </x:row>
    <x:row r="12">
      <x:c r="A12" s="16" t="str">
        <x:v>P1</x:v>
      </x:c>
      <x:c r="B12" s="16" t="str">
        <x:v>内部政策</x:v>
      </x:c>
      <x:c r="C12" s="31" t="str">
        <x:v>docs/self-hosting/PRICING_AND_SERVICE_CATALOG.md</x:v>
      </x:c>
      <x:c r="D12" s="16" t="str">
        <x:v>当前目标价格、范围和客户责任</x:v>
      </x:c>
      <x:c r="E12" s="16" t="str">
        <x:v>2026-07-18</x:v>
      </x:c>
    </x:row>
    <x:row r="13">
      <x:c r="A13" s="16" t="str">
        <x:v>T1</x:v>
      </x:c>
      <x:c r="B13" s="16" t="str">
        <x:v>内部条款</x:v>
      </x:c>
      <x:c r="C13" s="31" t="str">
        <x:v>docs/self-hosting/CHINA_TRIAL_TERMS.md</x:v>
      </x:c>
      <x:c r="D13" s="16" t="str">
        <x:v>中国境内试运营、税费与责任边界</x:v>
      </x:c>
      <x:c r="E13" s="16" t="str">
        <x:v>2026-07-18</x:v>
      </x:c>
    </x:row>
    <x:row r="14">
      <x:c r="A14" s="16" t="str">
        <x:v>F1</x:v>
      </x:c>
      <x:c r="B14" s="16" t="str">
        <x:v>演练单据</x:v>
      </x:c>
      <x:c r="C14" s="31" t="str">
        <x:v>docs/self-hosting/evidence/Copper_M7-05_首次收费与交付单据_内部演练.docx</x:v>
      </x:c>
      <x:c r="D14" s="16" t="str">
        <x:v>虚构订单、验收、交接、授权和完结</x:v>
      </x:c>
      <x:c r="E14" s="16" t="str">
        <x:v>2026-07-18</x:v>
      </x:c>
    </x:row>
  </x:sheetData>
  <x:mergeCells>
    <x:mergeCell ref="A1:E1"/>
    <x:mergeCell ref="A2:E2"/>
  </x:mergeCells>
  <x:pageMargins left="0.7" right="0.7" top="0.75" bottom="0.75" header="0.3" footer="0.3"/>
</x:worksheet>
</file>